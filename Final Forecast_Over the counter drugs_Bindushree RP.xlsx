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1832fcbd80f8d378/Desktop/"/>
    </mc:Choice>
  </mc:AlternateContent>
  <xr:revisionPtr revIDLastSave="6" documentId="8_{74C10522-B7B1-4FBE-A927-7E35A2F64422}" xr6:coauthVersionLast="47" xr6:coauthVersionMax="47" xr10:uidLastSave="{36DD2EF6-F1B9-42E6-A3C5-154FC9F56DA3}"/>
  <bookViews>
    <workbookView xWindow="-110" yWindow="-110" windowWidth="19420" windowHeight="10420" tabRatio="673" firstSheet="10" activeTab="12" xr2:uid="{50B3730E-AF89-4F12-B456-7460AC22A260}"/>
  </bookViews>
  <sheets>
    <sheet name="Raw Data with scatter" sheetId="1" r:id="rId1"/>
    <sheet name="Input for Linear - no dummies" sheetId="14" r:id="rId2"/>
    <sheet name="Linear reg - period- no dummies" sheetId="2" r:id="rId3"/>
    <sheet name="Input for Quad" sheetId="4" r:id="rId4"/>
    <sheet name="Reg Quad - wo dummies" sheetId="5" r:id="rId5"/>
    <sheet name="Input for Exp" sheetId="6" r:id="rId6"/>
    <sheet name="Reg Exp - wo dummies" sheetId="7" r:id="rId7"/>
    <sheet name="Seasonal Factors" sheetId="8" r:id="rId8"/>
    <sheet name="Deseasonalised Sales" sheetId="9" r:id="rId9"/>
    <sheet name="Input for Quad with dummies" sheetId="10" r:id="rId10"/>
    <sheet name="Reg - Quad with dummies" sheetId="11" r:id="rId11"/>
    <sheet name="Deseason ip for Final forecast" sheetId="12" r:id="rId12"/>
    <sheet name="Final Forecast"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1" i="14" l="1"/>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B2" i="14"/>
  <c r="M2" i="13"/>
  <c r="M14" i="13"/>
  <c r="M3" i="13"/>
  <c r="M4" i="13"/>
  <c r="M5" i="13"/>
  <c r="M6" i="13"/>
  <c r="M7" i="13"/>
  <c r="M8" i="13"/>
  <c r="M9" i="13"/>
  <c r="M10" i="13"/>
  <c r="M11" i="13"/>
  <c r="M12" i="13"/>
  <c r="M13" i="13"/>
  <c r="K3" i="13"/>
  <c r="K4" i="13"/>
  <c r="K5" i="13"/>
  <c r="K6" i="13"/>
  <c r="K7" i="13"/>
  <c r="K8" i="13"/>
  <c r="K9" i="13"/>
  <c r="K10" i="13"/>
  <c r="K11" i="13"/>
  <c r="K12" i="13"/>
  <c r="K13" i="13"/>
  <c r="K2" i="13"/>
  <c r="J3" i="13"/>
  <c r="J4" i="13"/>
  <c r="J5" i="13"/>
  <c r="J6" i="13"/>
  <c r="J7" i="13"/>
  <c r="J8" i="13"/>
  <c r="J9" i="13"/>
  <c r="J10" i="13"/>
  <c r="J11" i="13"/>
  <c r="J12" i="13"/>
  <c r="J13" i="13"/>
  <c r="J2" i="13"/>
  <c r="K23" i="13"/>
  <c r="K22"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5" i="13"/>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2" i="12"/>
  <c r="G181" i="12"/>
  <c r="B181" i="12"/>
  <c r="G180" i="12"/>
  <c r="B180" i="12"/>
  <c r="G179" i="12"/>
  <c r="B179" i="12"/>
  <c r="G178" i="12"/>
  <c r="B178" i="12"/>
  <c r="G177" i="12"/>
  <c r="B177" i="12"/>
  <c r="G176" i="12"/>
  <c r="B176" i="12"/>
  <c r="G175" i="12"/>
  <c r="B175" i="12"/>
  <c r="G174" i="12"/>
  <c r="B174" i="12"/>
  <c r="G173" i="12"/>
  <c r="B173" i="12"/>
  <c r="G172" i="12"/>
  <c r="B172" i="12"/>
  <c r="G171" i="12"/>
  <c r="B171" i="12"/>
  <c r="G170" i="12"/>
  <c r="B170" i="12"/>
  <c r="G169" i="12"/>
  <c r="B169" i="12"/>
  <c r="G168" i="12"/>
  <c r="B168" i="12"/>
  <c r="G167" i="12"/>
  <c r="B167" i="12"/>
  <c r="G166" i="12"/>
  <c r="B166" i="12"/>
  <c r="G165" i="12"/>
  <c r="B165" i="12"/>
  <c r="G164" i="12"/>
  <c r="B164" i="12"/>
  <c r="G163" i="12"/>
  <c r="B163" i="12"/>
  <c r="G162" i="12"/>
  <c r="B162" i="12"/>
  <c r="G161" i="12"/>
  <c r="B161" i="12"/>
  <c r="G160" i="12"/>
  <c r="B160" i="12"/>
  <c r="G159" i="12"/>
  <c r="B159" i="12"/>
  <c r="G158" i="12"/>
  <c r="B158" i="12"/>
  <c r="G157" i="12"/>
  <c r="B157" i="12"/>
  <c r="G156" i="12"/>
  <c r="B156" i="12"/>
  <c r="G155" i="12"/>
  <c r="B155" i="12"/>
  <c r="G154" i="12"/>
  <c r="B154" i="12"/>
  <c r="G153" i="12"/>
  <c r="B153" i="12"/>
  <c r="G152" i="12"/>
  <c r="B152" i="12"/>
  <c r="G151" i="12"/>
  <c r="B151" i="12"/>
  <c r="G150" i="12"/>
  <c r="B150" i="12"/>
  <c r="G149" i="12"/>
  <c r="B149" i="12"/>
  <c r="G148" i="12"/>
  <c r="B148" i="12"/>
  <c r="G147" i="12"/>
  <c r="B147" i="12"/>
  <c r="G146" i="12"/>
  <c r="B146" i="12"/>
  <c r="G145" i="12"/>
  <c r="B145" i="12"/>
  <c r="G144" i="12"/>
  <c r="B144" i="12"/>
  <c r="G143" i="12"/>
  <c r="B143" i="12"/>
  <c r="G142" i="12"/>
  <c r="B142" i="12"/>
  <c r="G141" i="12"/>
  <c r="B141" i="12"/>
  <c r="G140" i="12"/>
  <c r="B140" i="12"/>
  <c r="G139" i="12"/>
  <c r="B139" i="12"/>
  <c r="G138" i="12"/>
  <c r="B138" i="12"/>
  <c r="G137" i="12"/>
  <c r="B137" i="12"/>
  <c r="G136" i="12"/>
  <c r="B136" i="12"/>
  <c r="G135" i="12"/>
  <c r="B135" i="12"/>
  <c r="G134" i="12"/>
  <c r="B134" i="12"/>
  <c r="G133" i="12"/>
  <c r="B133" i="12"/>
  <c r="G132" i="12"/>
  <c r="B132" i="12"/>
  <c r="G131" i="12"/>
  <c r="B131" i="12"/>
  <c r="G130" i="12"/>
  <c r="B130" i="12"/>
  <c r="G129" i="12"/>
  <c r="B129" i="12"/>
  <c r="G128" i="12"/>
  <c r="B128" i="12"/>
  <c r="G127" i="12"/>
  <c r="B127" i="12"/>
  <c r="G126" i="12"/>
  <c r="B126" i="12"/>
  <c r="G125" i="12"/>
  <c r="B125" i="12"/>
  <c r="G124" i="12"/>
  <c r="B124" i="12"/>
  <c r="G123" i="12"/>
  <c r="B123" i="12"/>
  <c r="G122" i="12"/>
  <c r="B122" i="12"/>
  <c r="G121" i="12"/>
  <c r="B121" i="12"/>
  <c r="G120" i="12"/>
  <c r="B120" i="12"/>
  <c r="G119" i="12"/>
  <c r="B119" i="12"/>
  <c r="G118" i="12"/>
  <c r="B118" i="12"/>
  <c r="G117" i="12"/>
  <c r="B117" i="12"/>
  <c r="G116" i="12"/>
  <c r="B116" i="12"/>
  <c r="G115" i="12"/>
  <c r="B115" i="12"/>
  <c r="G114" i="12"/>
  <c r="B114" i="12"/>
  <c r="G113" i="12"/>
  <c r="B113" i="12"/>
  <c r="G112" i="12"/>
  <c r="B112" i="12"/>
  <c r="G111" i="12"/>
  <c r="B111" i="12"/>
  <c r="G110" i="12"/>
  <c r="B110" i="12"/>
  <c r="G109" i="12"/>
  <c r="B109" i="12"/>
  <c r="G108" i="12"/>
  <c r="B108" i="12"/>
  <c r="G107" i="12"/>
  <c r="B107" i="12"/>
  <c r="G106" i="12"/>
  <c r="B106" i="12"/>
  <c r="G105" i="12"/>
  <c r="B105" i="12"/>
  <c r="G104" i="12"/>
  <c r="B104" i="12"/>
  <c r="G103" i="12"/>
  <c r="B103" i="12"/>
  <c r="G102" i="12"/>
  <c r="B102" i="12"/>
  <c r="G101" i="12"/>
  <c r="B101" i="12"/>
  <c r="G100" i="12"/>
  <c r="B100" i="12"/>
  <c r="G99" i="12"/>
  <c r="B99" i="12"/>
  <c r="G98" i="12"/>
  <c r="B98" i="12"/>
  <c r="G97" i="12"/>
  <c r="B97" i="12"/>
  <c r="G96" i="12"/>
  <c r="B96" i="12"/>
  <c r="G95" i="12"/>
  <c r="B95" i="12"/>
  <c r="G94" i="12"/>
  <c r="B94" i="12"/>
  <c r="G93" i="12"/>
  <c r="B93" i="12"/>
  <c r="G92" i="12"/>
  <c r="B92" i="12"/>
  <c r="G91" i="12"/>
  <c r="B91" i="12"/>
  <c r="G90" i="12"/>
  <c r="B90" i="12"/>
  <c r="G89" i="12"/>
  <c r="B89" i="12"/>
  <c r="G88" i="12"/>
  <c r="B88" i="12"/>
  <c r="G87" i="12"/>
  <c r="B87" i="12"/>
  <c r="G86" i="12"/>
  <c r="B86" i="12"/>
  <c r="G85" i="12"/>
  <c r="B85" i="12"/>
  <c r="G84" i="12"/>
  <c r="B84" i="12"/>
  <c r="G83" i="12"/>
  <c r="B83" i="12"/>
  <c r="G82" i="12"/>
  <c r="B82" i="12"/>
  <c r="G81" i="12"/>
  <c r="B81" i="12"/>
  <c r="G80" i="12"/>
  <c r="B80" i="12"/>
  <c r="G79" i="12"/>
  <c r="B79" i="12"/>
  <c r="G78" i="12"/>
  <c r="B78" i="12"/>
  <c r="G77" i="12"/>
  <c r="B77" i="12"/>
  <c r="G76" i="12"/>
  <c r="B76" i="12"/>
  <c r="G75" i="12"/>
  <c r="B75" i="12"/>
  <c r="G74" i="12"/>
  <c r="B74" i="12"/>
  <c r="G73" i="12"/>
  <c r="B73" i="12"/>
  <c r="G72" i="12"/>
  <c r="B72" i="12"/>
  <c r="G71" i="12"/>
  <c r="B71" i="12"/>
  <c r="G70" i="12"/>
  <c r="B70" i="12"/>
  <c r="G69" i="12"/>
  <c r="B69" i="12"/>
  <c r="G68" i="12"/>
  <c r="B68" i="12"/>
  <c r="G67" i="12"/>
  <c r="B67" i="12"/>
  <c r="G66" i="12"/>
  <c r="B66" i="12"/>
  <c r="G65" i="12"/>
  <c r="B65" i="12"/>
  <c r="G64" i="12"/>
  <c r="B64" i="12"/>
  <c r="G63" i="12"/>
  <c r="B63" i="12"/>
  <c r="G62" i="12"/>
  <c r="B62" i="12"/>
  <c r="G61" i="12"/>
  <c r="B61" i="12"/>
  <c r="G60" i="12"/>
  <c r="B60" i="12"/>
  <c r="G59" i="12"/>
  <c r="B59" i="12"/>
  <c r="G58" i="12"/>
  <c r="B58" i="12"/>
  <c r="G57" i="12"/>
  <c r="B57" i="12"/>
  <c r="G56" i="12"/>
  <c r="B56" i="12"/>
  <c r="G55" i="12"/>
  <c r="B55" i="12"/>
  <c r="G54" i="12"/>
  <c r="B54" i="12"/>
  <c r="G53" i="12"/>
  <c r="B53" i="12"/>
  <c r="G52" i="12"/>
  <c r="B52" i="12"/>
  <c r="G51" i="12"/>
  <c r="B51" i="12"/>
  <c r="G50" i="12"/>
  <c r="B50" i="12"/>
  <c r="G49" i="12"/>
  <c r="B49" i="12"/>
  <c r="G48" i="12"/>
  <c r="B48" i="12"/>
  <c r="G47" i="12"/>
  <c r="B47" i="12"/>
  <c r="G46" i="12"/>
  <c r="B46" i="12"/>
  <c r="G45" i="12"/>
  <c r="B45" i="12"/>
  <c r="G44" i="12"/>
  <c r="B44" i="12"/>
  <c r="G43" i="12"/>
  <c r="B43" i="12"/>
  <c r="G42" i="12"/>
  <c r="B42" i="12"/>
  <c r="G41" i="12"/>
  <c r="B41" i="12"/>
  <c r="G40" i="12"/>
  <c r="B40" i="12"/>
  <c r="G39" i="12"/>
  <c r="B39" i="12"/>
  <c r="G38" i="12"/>
  <c r="B38" i="12"/>
  <c r="G37" i="12"/>
  <c r="B37" i="12"/>
  <c r="G36" i="12"/>
  <c r="B36" i="12"/>
  <c r="G35" i="12"/>
  <c r="B35" i="12"/>
  <c r="G34" i="12"/>
  <c r="B34" i="12"/>
  <c r="G33" i="12"/>
  <c r="B33" i="12"/>
  <c r="G32" i="12"/>
  <c r="B32" i="12"/>
  <c r="G31" i="12"/>
  <c r="B31" i="12"/>
  <c r="G30" i="12"/>
  <c r="B30" i="12"/>
  <c r="G29" i="12"/>
  <c r="B29" i="12"/>
  <c r="G28" i="12"/>
  <c r="B28" i="12"/>
  <c r="G27" i="12"/>
  <c r="B27" i="12"/>
  <c r="G26" i="12"/>
  <c r="B26" i="12"/>
  <c r="G25" i="12"/>
  <c r="B25" i="12"/>
  <c r="G24" i="12"/>
  <c r="B24" i="12"/>
  <c r="G23" i="12"/>
  <c r="B23" i="12"/>
  <c r="G22" i="12"/>
  <c r="B22" i="12"/>
  <c r="G21" i="12"/>
  <c r="B21" i="12"/>
  <c r="G20" i="12"/>
  <c r="B20" i="12"/>
  <c r="G19" i="12"/>
  <c r="B19" i="12"/>
  <c r="G18" i="12"/>
  <c r="B18" i="12"/>
  <c r="G17" i="12"/>
  <c r="B17" i="12"/>
  <c r="G16" i="12"/>
  <c r="B16" i="12"/>
  <c r="G15" i="12"/>
  <c r="B15" i="12"/>
  <c r="G14" i="12"/>
  <c r="B14" i="12"/>
  <c r="G13" i="12"/>
  <c r="B13" i="12"/>
  <c r="G12" i="12"/>
  <c r="B12" i="12"/>
  <c r="G11" i="12"/>
  <c r="B11" i="12"/>
  <c r="G10" i="12"/>
  <c r="B10" i="12"/>
  <c r="G9" i="12"/>
  <c r="B9" i="12"/>
  <c r="G8" i="12"/>
  <c r="B8" i="12"/>
  <c r="G7" i="12"/>
  <c r="B7" i="12"/>
  <c r="G6" i="12"/>
  <c r="B6" i="12"/>
  <c r="G5" i="12"/>
  <c r="B5" i="12"/>
  <c r="G4" i="12"/>
  <c r="B4" i="12"/>
  <c r="G3" i="12"/>
  <c r="B3" i="12"/>
  <c r="G2" i="12"/>
  <c r="B2" i="12"/>
  <c r="E2" i="10"/>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37" i="11"/>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G14" i="8"/>
  <c r="J4" i="8" s="1"/>
  <c r="G17" i="8"/>
  <c r="G20" i="8"/>
  <c r="G22" i="8"/>
  <c r="G25" i="8"/>
  <c r="G28" i="8"/>
  <c r="G30" i="8"/>
  <c r="G33" i="8"/>
  <c r="G36" i="8"/>
  <c r="G38" i="8"/>
  <c r="G41" i="8"/>
  <c r="G44" i="8"/>
  <c r="G46" i="8"/>
  <c r="G49" i="8"/>
  <c r="G52" i="8"/>
  <c r="G54" i="8"/>
  <c r="G57" i="8"/>
  <c r="G60" i="8"/>
  <c r="G62" i="8"/>
  <c r="G65" i="8"/>
  <c r="G68" i="8"/>
  <c r="G70" i="8"/>
  <c r="G73" i="8"/>
  <c r="G76" i="8"/>
  <c r="G78" i="8"/>
  <c r="G81" i="8"/>
  <c r="G84" i="8"/>
  <c r="G86" i="8"/>
  <c r="G89" i="8"/>
  <c r="G92" i="8"/>
  <c r="G94" i="8"/>
  <c r="G97" i="8"/>
  <c r="G100" i="8"/>
  <c r="G102" i="8"/>
  <c r="G105" i="8"/>
  <c r="G108" i="8"/>
  <c r="G110" i="8"/>
  <c r="G113" i="8"/>
  <c r="G116" i="8"/>
  <c r="G118" i="8"/>
  <c r="G121" i="8"/>
  <c r="G124" i="8"/>
  <c r="G126" i="8"/>
  <c r="G129" i="8"/>
  <c r="G132" i="8"/>
  <c r="G134" i="8"/>
  <c r="G137" i="8"/>
  <c r="G140" i="8"/>
  <c r="G142" i="8"/>
  <c r="G145" i="8"/>
  <c r="G148" i="8"/>
  <c r="G153" i="8"/>
  <c r="G156" i="8"/>
  <c r="G161" i="8"/>
  <c r="G164" i="8"/>
  <c r="G169" i="8"/>
  <c r="G172" i="8"/>
  <c r="G180" i="8"/>
  <c r="F14" i="8"/>
  <c r="F15" i="8"/>
  <c r="G15" i="8" s="1"/>
  <c r="F16" i="8"/>
  <c r="G16" i="8" s="1"/>
  <c r="F17" i="8"/>
  <c r="F18" i="8"/>
  <c r="G18" i="8" s="1"/>
  <c r="F19" i="8"/>
  <c r="G19" i="8" s="1"/>
  <c r="F20" i="8"/>
  <c r="F21" i="8"/>
  <c r="G21" i="8" s="1"/>
  <c r="F22" i="8"/>
  <c r="F23" i="8"/>
  <c r="G23" i="8" s="1"/>
  <c r="F24" i="8"/>
  <c r="G24" i="8" s="1"/>
  <c r="F25" i="8"/>
  <c r="F26" i="8"/>
  <c r="G26" i="8" s="1"/>
  <c r="F27" i="8"/>
  <c r="G27" i="8" s="1"/>
  <c r="F28" i="8"/>
  <c r="F29" i="8"/>
  <c r="G29" i="8" s="1"/>
  <c r="F30" i="8"/>
  <c r="F31" i="8"/>
  <c r="G31" i="8" s="1"/>
  <c r="F32" i="8"/>
  <c r="G32" i="8" s="1"/>
  <c r="F33" i="8"/>
  <c r="F34" i="8"/>
  <c r="G34" i="8" s="1"/>
  <c r="F35" i="8"/>
  <c r="G35" i="8" s="1"/>
  <c r="F36" i="8"/>
  <c r="F37" i="8"/>
  <c r="G37" i="8" s="1"/>
  <c r="F38" i="8"/>
  <c r="F39" i="8"/>
  <c r="G39" i="8" s="1"/>
  <c r="F40" i="8"/>
  <c r="G40" i="8" s="1"/>
  <c r="F41" i="8"/>
  <c r="F42" i="8"/>
  <c r="G42" i="8" s="1"/>
  <c r="F43" i="8"/>
  <c r="G43" i="8" s="1"/>
  <c r="F44" i="8"/>
  <c r="F45" i="8"/>
  <c r="G45" i="8" s="1"/>
  <c r="F46" i="8"/>
  <c r="F47" i="8"/>
  <c r="G47" i="8" s="1"/>
  <c r="F48" i="8"/>
  <c r="G48" i="8" s="1"/>
  <c r="F49" i="8"/>
  <c r="F50" i="8"/>
  <c r="G50" i="8" s="1"/>
  <c r="F51" i="8"/>
  <c r="G51" i="8" s="1"/>
  <c r="F52" i="8"/>
  <c r="F53" i="8"/>
  <c r="G53" i="8" s="1"/>
  <c r="F54" i="8"/>
  <c r="F55" i="8"/>
  <c r="G55" i="8" s="1"/>
  <c r="F56" i="8"/>
  <c r="G56" i="8" s="1"/>
  <c r="F57" i="8"/>
  <c r="F58" i="8"/>
  <c r="G58" i="8" s="1"/>
  <c r="F59" i="8"/>
  <c r="G59" i="8" s="1"/>
  <c r="F60" i="8"/>
  <c r="F61" i="8"/>
  <c r="G61" i="8" s="1"/>
  <c r="F62" i="8"/>
  <c r="F63" i="8"/>
  <c r="G63" i="8" s="1"/>
  <c r="F64" i="8"/>
  <c r="G64" i="8" s="1"/>
  <c r="F65" i="8"/>
  <c r="F66" i="8"/>
  <c r="G66" i="8" s="1"/>
  <c r="F67" i="8"/>
  <c r="G67" i="8" s="1"/>
  <c r="F68" i="8"/>
  <c r="F69" i="8"/>
  <c r="G69" i="8" s="1"/>
  <c r="F70" i="8"/>
  <c r="F71" i="8"/>
  <c r="G71" i="8" s="1"/>
  <c r="F72" i="8"/>
  <c r="G72" i="8" s="1"/>
  <c r="F73" i="8"/>
  <c r="F74" i="8"/>
  <c r="G74" i="8" s="1"/>
  <c r="F75" i="8"/>
  <c r="G75" i="8" s="1"/>
  <c r="F76" i="8"/>
  <c r="F77" i="8"/>
  <c r="G77" i="8" s="1"/>
  <c r="F78" i="8"/>
  <c r="F79" i="8"/>
  <c r="G79" i="8" s="1"/>
  <c r="F80" i="8"/>
  <c r="G80" i="8" s="1"/>
  <c r="F81" i="8"/>
  <c r="F82" i="8"/>
  <c r="G82" i="8" s="1"/>
  <c r="F83" i="8"/>
  <c r="G83" i="8" s="1"/>
  <c r="F84" i="8"/>
  <c r="F85" i="8"/>
  <c r="G85" i="8" s="1"/>
  <c r="F86" i="8"/>
  <c r="F87" i="8"/>
  <c r="G87" i="8" s="1"/>
  <c r="F88" i="8"/>
  <c r="G88" i="8" s="1"/>
  <c r="F89" i="8"/>
  <c r="F90" i="8"/>
  <c r="G90" i="8" s="1"/>
  <c r="F91" i="8"/>
  <c r="G91" i="8" s="1"/>
  <c r="F92" i="8"/>
  <c r="F93" i="8"/>
  <c r="G93" i="8" s="1"/>
  <c r="F94" i="8"/>
  <c r="F95" i="8"/>
  <c r="G95" i="8" s="1"/>
  <c r="F96" i="8"/>
  <c r="G96" i="8" s="1"/>
  <c r="F97" i="8"/>
  <c r="F98" i="8"/>
  <c r="G98" i="8" s="1"/>
  <c r="F99" i="8"/>
  <c r="G99" i="8" s="1"/>
  <c r="F100" i="8"/>
  <c r="F101" i="8"/>
  <c r="G101" i="8" s="1"/>
  <c r="F102" i="8"/>
  <c r="F103" i="8"/>
  <c r="G103" i="8" s="1"/>
  <c r="F104" i="8"/>
  <c r="G104" i="8" s="1"/>
  <c r="F105" i="8"/>
  <c r="F106" i="8"/>
  <c r="G106" i="8" s="1"/>
  <c r="F107" i="8"/>
  <c r="G107" i="8" s="1"/>
  <c r="F108" i="8"/>
  <c r="F109" i="8"/>
  <c r="G109" i="8" s="1"/>
  <c r="F110" i="8"/>
  <c r="F111" i="8"/>
  <c r="G111" i="8" s="1"/>
  <c r="F112" i="8"/>
  <c r="G112" i="8" s="1"/>
  <c r="F113" i="8"/>
  <c r="F114" i="8"/>
  <c r="G114" i="8" s="1"/>
  <c r="F115" i="8"/>
  <c r="G115" i="8" s="1"/>
  <c r="F116" i="8"/>
  <c r="F117" i="8"/>
  <c r="G117" i="8" s="1"/>
  <c r="F118" i="8"/>
  <c r="F119" i="8"/>
  <c r="G119" i="8" s="1"/>
  <c r="F120" i="8"/>
  <c r="G120" i="8" s="1"/>
  <c r="F121" i="8"/>
  <c r="F122" i="8"/>
  <c r="G122" i="8" s="1"/>
  <c r="F123" i="8"/>
  <c r="G123" i="8" s="1"/>
  <c r="F124" i="8"/>
  <c r="F125" i="8"/>
  <c r="G125" i="8" s="1"/>
  <c r="F126" i="8"/>
  <c r="F127" i="8"/>
  <c r="G127" i="8" s="1"/>
  <c r="F128" i="8"/>
  <c r="G128" i="8" s="1"/>
  <c r="F129" i="8"/>
  <c r="F130" i="8"/>
  <c r="G130" i="8" s="1"/>
  <c r="F131" i="8"/>
  <c r="G131" i="8" s="1"/>
  <c r="F132" i="8"/>
  <c r="F133" i="8"/>
  <c r="G133" i="8" s="1"/>
  <c r="F134" i="8"/>
  <c r="F135" i="8"/>
  <c r="G135" i="8" s="1"/>
  <c r="F136" i="8"/>
  <c r="G136" i="8" s="1"/>
  <c r="F137" i="8"/>
  <c r="F138" i="8"/>
  <c r="G138" i="8" s="1"/>
  <c r="F139" i="8"/>
  <c r="G139" i="8" s="1"/>
  <c r="F140" i="8"/>
  <c r="F141" i="8"/>
  <c r="G141" i="8" s="1"/>
  <c r="F142" i="8"/>
  <c r="F143" i="8"/>
  <c r="G143" i="8" s="1"/>
  <c r="F144" i="8"/>
  <c r="G144" i="8" s="1"/>
  <c r="F145" i="8"/>
  <c r="F146" i="8"/>
  <c r="G146" i="8" s="1"/>
  <c r="F147" i="8"/>
  <c r="G147" i="8" s="1"/>
  <c r="F148" i="8"/>
  <c r="F149" i="8"/>
  <c r="G149" i="8" s="1"/>
  <c r="F150" i="8"/>
  <c r="G150" i="8" s="1"/>
  <c r="F151" i="8"/>
  <c r="G151" i="8" s="1"/>
  <c r="F152" i="8"/>
  <c r="G152" i="8" s="1"/>
  <c r="F153" i="8"/>
  <c r="F154" i="8"/>
  <c r="G154" i="8" s="1"/>
  <c r="F155" i="8"/>
  <c r="G155" i="8" s="1"/>
  <c r="F156" i="8"/>
  <c r="F157" i="8"/>
  <c r="G157" i="8" s="1"/>
  <c r="F158" i="8"/>
  <c r="G158" i="8" s="1"/>
  <c r="F159" i="8"/>
  <c r="G159" i="8" s="1"/>
  <c r="F160" i="8"/>
  <c r="G160" i="8" s="1"/>
  <c r="F161" i="8"/>
  <c r="F162" i="8"/>
  <c r="G162" i="8" s="1"/>
  <c r="F163" i="8"/>
  <c r="G163" i="8" s="1"/>
  <c r="F164" i="8"/>
  <c r="F165" i="8"/>
  <c r="G165" i="8" s="1"/>
  <c r="F166" i="8"/>
  <c r="G166" i="8" s="1"/>
  <c r="F167" i="8"/>
  <c r="G167" i="8" s="1"/>
  <c r="F168" i="8"/>
  <c r="G168" i="8" s="1"/>
  <c r="F169" i="8"/>
  <c r="F170" i="8"/>
  <c r="G170" i="8" s="1"/>
  <c r="F171" i="8"/>
  <c r="G171" i="8" s="1"/>
  <c r="F172" i="8"/>
  <c r="F173" i="8"/>
  <c r="G173" i="8" s="1"/>
  <c r="F174" i="8"/>
  <c r="G174" i="8" s="1"/>
  <c r="F175" i="8"/>
  <c r="G175" i="8" s="1"/>
  <c r="F176" i="8"/>
  <c r="G176" i="8" s="1"/>
  <c r="F177" i="8"/>
  <c r="G177" i="8" s="1"/>
  <c r="F178" i="8"/>
  <c r="G178" i="8" s="1"/>
  <c r="F179" i="8"/>
  <c r="G179" i="8" s="1"/>
  <c r="F180" i="8"/>
  <c r="F181" i="8"/>
  <c r="G181" i="8" s="1"/>
  <c r="F13" i="8"/>
  <c r="G13" i="8" s="1"/>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F34" i="11" l="1"/>
  <c r="F35" i="11" s="1"/>
  <c r="J13" i="8"/>
  <c r="J5" i="8"/>
  <c r="J3" i="8"/>
  <c r="J10" i="8"/>
  <c r="J11" i="8"/>
  <c r="J7" i="8"/>
  <c r="J9" i="8"/>
  <c r="J12" i="8"/>
  <c r="J8" i="8"/>
  <c r="J14" i="8"/>
  <c r="J6" i="8"/>
</calcChain>
</file>

<file path=xl/sharedStrings.xml><?xml version="1.0" encoding="utf-8"?>
<sst xmlns="http://schemas.openxmlformats.org/spreadsheetml/2006/main" count="1700" uniqueCount="251">
  <si>
    <t>Sep. 2005</t>
  </si>
  <si>
    <t>Oct. 2005</t>
  </si>
  <si>
    <t>Nov. 2005</t>
  </si>
  <si>
    <t>Dec. 2005</t>
  </si>
  <si>
    <t>Over the Counter Drugs</t>
  </si>
  <si>
    <t>Jan. 2006</t>
  </si>
  <si>
    <t>Feb. 2006</t>
  </si>
  <si>
    <t>Mar. 2006</t>
  </si>
  <si>
    <t>Apr. 2006</t>
  </si>
  <si>
    <t>Jun. 2006</t>
  </si>
  <si>
    <t>Jul. 2006</t>
  </si>
  <si>
    <t>Aug. 2006</t>
  </si>
  <si>
    <t>Sep. 2006</t>
  </si>
  <si>
    <t>Oct. 2006</t>
  </si>
  <si>
    <t>Nov. 2006</t>
  </si>
  <si>
    <t>Dec. 2006</t>
  </si>
  <si>
    <t>Jan. 2007</t>
  </si>
  <si>
    <t>Feb. 2007</t>
  </si>
  <si>
    <t>Mar. 2007</t>
  </si>
  <si>
    <t>Apr. 2007</t>
  </si>
  <si>
    <t>Jun. 2007</t>
  </si>
  <si>
    <t>Jul. 2007</t>
  </si>
  <si>
    <t>Aug. 2007</t>
  </si>
  <si>
    <t>Sep. 2007</t>
  </si>
  <si>
    <t>Oct. 2007</t>
  </si>
  <si>
    <t>Nov. 2007</t>
  </si>
  <si>
    <t>Dec. 2007</t>
  </si>
  <si>
    <t>Jan. 2008</t>
  </si>
  <si>
    <t>Feb. 2008</t>
  </si>
  <si>
    <t>Mar. 2008</t>
  </si>
  <si>
    <t>Apr. 2008</t>
  </si>
  <si>
    <t>Jun. 2008</t>
  </si>
  <si>
    <t>Jul. 2008</t>
  </si>
  <si>
    <t>Aug. 2008</t>
  </si>
  <si>
    <t>Sep. 2008</t>
  </si>
  <si>
    <t>Oct. 2008</t>
  </si>
  <si>
    <t>Nov. 2008</t>
  </si>
  <si>
    <t>Dec. 2008</t>
  </si>
  <si>
    <t>Jan. 2009</t>
  </si>
  <si>
    <t>Feb. 2009</t>
  </si>
  <si>
    <t>Mar. 2009</t>
  </si>
  <si>
    <t>Apr. 2009</t>
  </si>
  <si>
    <t>Jun. 2009</t>
  </si>
  <si>
    <t>Jul. 2009</t>
  </si>
  <si>
    <t>Aug. 2009</t>
  </si>
  <si>
    <t>Sep. 2009</t>
  </si>
  <si>
    <t>Oct. 2009</t>
  </si>
  <si>
    <t>Nov. 2009</t>
  </si>
  <si>
    <t>Dec. 2009</t>
  </si>
  <si>
    <t>Jan. 2010</t>
  </si>
  <si>
    <t>Feb. 2010</t>
  </si>
  <si>
    <t>Mar. 2010</t>
  </si>
  <si>
    <t>Apr. 2010</t>
  </si>
  <si>
    <t>Jun. 2010</t>
  </si>
  <si>
    <t>Jul. 2010</t>
  </si>
  <si>
    <t>Aug. 2010</t>
  </si>
  <si>
    <t>Sep. 2010</t>
  </si>
  <si>
    <t>Oct. 2010</t>
  </si>
  <si>
    <t>Nov. 2010</t>
  </si>
  <si>
    <t>Dec. 2010</t>
  </si>
  <si>
    <t>Jan. 2011</t>
  </si>
  <si>
    <t>Feb. 2011</t>
  </si>
  <si>
    <t>Mar. 2011</t>
  </si>
  <si>
    <t>Apr. 2011</t>
  </si>
  <si>
    <t>Jun. 2011</t>
  </si>
  <si>
    <t>Jul. 2011</t>
  </si>
  <si>
    <t>Aug. 2011</t>
  </si>
  <si>
    <t>Sep. 2011</t>
  </si>
  <si>
    <t>Oct. 2011</t>
  </si>
  <si>
    <t>Nov. 2011</t>
  </si>
  <si>
    <t>Dec. 2011</t>
  </si>
  <si>
    <t>Jan. 2012</t>
  </si>
  <si>
    <t>Feb. 2012</t>
  </si>
  <si>
    <t>Mar. 2012</t>
  </si>
  <si>
    <t>Apr. 2012</t>
  </si>
  <si>
    <t>Jun. 2012</t>
  </si>
  <si>
    <t>Jul. 2012</t>
  </si>
  <si>
    <t>Aug. 2012</t>
  </si>
  <si>
    <t>Sep. 2012</t>
  </si>
  <si>
    <t>Oct. 2012</t>
  </si>
  <si>
    <t>Nov. 2012</t>
  </si>
  <si>
    <t>Dec. 2012</t>
  </si>
  <si>
    <t>Jan. 2013</t>
  </si>
  <si>
    <t>Feb. 2013</t>
  </si>
  <si>
    <t>Mar. 2013</t>
  </si>
  <si>
    <t>Apr. 2013</t>
  </si>
  <si>
    <t xml:space="preserve"> May 2013</t>
  </si>
  <si>
    <t>Jun. 2013</t>
  </si>
  <si>
    <t>Jul. 2013</t>
  </si>
  <si>
    <t>Aug. 2013</t>
  </si>
  <si>
    <t>Sep. 2013</t>
  </si>
  <si>
    <t>Oct. 2013</t>
  </si>
  <si>
    <t>Nov. 2013</t>
  </si>
  <si>
    <t>Dec. 2013</t>
  </si>
  <si>
    <t>Jan. 2014</t>
  </si>
  <si>
    <t>Feb. 2014</t>
  </si>
  <si>
    <t>Mar. 2014</t>
  </si>
  <si>
    <t>Apr. 2014</t>
  </si>
  <si>
    <t xml:space="preserve"> May 2014</t>
  </si>
  <si>
    <t>Jun. 2014</t>
  </si>
  <si>
    <t>Jul. 2014</t>
  </si>
  <si>
    <t>Aug. 2014</t>
  </si>
  <si>
    <t>Sep. 2014</t>
  </si>
  <si>
    <t>Oct. 2014</t>
  </si>
  <si>
    <t>Nov. 2014</t>
  </si>
  <si>
    <t>Dec. 2014</t>
  </si>
  <si>
    <t>Jan. 2015</t>
  </si>
  <si>
    <t>Feb. 2015</t>
  </si>
  <si>
    <t>Mar. 2015</t>
  </si>
  <si>
    <t>Apr. 2015</t>
  </si>
  <si>
    <t xml:space="preserve"> May 2015</t>
  </si>
  <si>
    <t>Jun. 2015</t>
  </si>
  <si>
    <t>Jul. 2015</t>
  </si>
  <si>
    <t>Aug. 2015</t>
  </si>
  <si>
    <t>Sep. 2015</t>
  </si>
  <si>
    <t>Oct. 2015</t>
  </si>
  <si>
    <t>Nov. 2015</t>
  </si>
  <si>
    <t>Dec. 2015</t>
  </si>
  <si>
    <t>Jan. 2016</t>
  </si>
  <si>
    <t>Feb. 2016</t>
  </si>
  <si>
    <t>Mar. 2016</t>
  </si>
  <si>
    <t>Apr. 2016</t>
  </si>
  <si>
    <t xml:space="preserve"> May 2016</t>
  </si>
  <si>
    <t>Jun. 2016</t>
  </si>
  <si>
    <t>Jul. 2016</t>
  </si>
  <si>
    <t>Aug. 2016</t>
  </si>
  <si>
    <t>Sep. 2016</t>
  </si>
  <si>
    <t>Oct. 2016</t>
  </si>
  <si>
    <t>Nov. 2016</t>
  </si>
  <si>
    <t>Dec. 2016</t>
  </si>
  <si>
    <t>Jan. 2017</t>
  </si>
  <si>
    <t>Feb. 2017</t>
  </si>
  <si>
    <t>Mar. 2017</t>
  </si>
  <si>
    <t>Apr. 2017</t>
  </si>
  <si>
    <t xml:space="preserve"> May 2017</t>
  </si>
  <si>
    <t>Jun. 2017</t>
  </si>
  <si>
    <t>Jul. 2017</t>
  </si>
  <si>
    <t>Aug. 2017</t>
  </si>
  <si>
    <t>Sep. 2017</t>
  </si>
  <si>
    <t>Oct. 2017</t>
  </si>
  <si>
    <t>Nov. 2017</t>
  </si>
  <si>
    <t>Dec. 2017</t>
  </si>
  <si>
    <t>Jan. 2018</t>
  </si>
  <si>
    <t>Feb. 2018</t>
  </si>
  <si>
    <t>Mar. 2018</t>
  </si>
  <si>
    <t>Apr. 2018</t>
  </si>
  <si>
    <t xml:space="preserve"> May 2018</t>
  </si>
  <si>
    <t>Jun. 2018</t>
  </si>
  <si>
    <t>Jul. 2018</t>
  </si>
  <si>
    <t>Aug. 2018</t>
  </si>
  <si>
    <t>Sep. 2018</t>
  </si>
  <si>
    <t>Oct. 2018</t>
  </si>
  <si>
    <t>Nov. 2018</t>
  </si>
  <si>
    <t>Dec. 2018</t>
  </si>
  <si>
    <t>Jan. 2019</t>
  </si>
  <si>
    <t>Feb. 2019</t>
  </si>
  <si>
    <t>Mar. 2019</t>
  </si>
  <si>
    <t>Apr. 2019</t>
  </si>
  <si>
    <t xml:space="preserve"> May 2019</t>
  </si>
  <si>
    <t>Jun. 2019</t>
  </si>
  <si>
    <t>Jul. 2019</t>
  </si>
  <si>
    <t>Aug. 2019</t>
  </si>
  <si>
    <t>Sep. 2019</t>
  </si>
  <si>
    <t>Oct. 2019</t>
  </si>
  <si>
    <t>Nov. 2019</t>
  </si>
  <si>
    <t>Dec. 2019</t>
  </si>
  <si>
    <t>Jan. 2020</t>
  </si>
  <si>
    <t>Feb. 2020</t>
  </si>
  <si>
    <t>Mar. 2020</t>
  </si>
  <si>
    <t>Apr. 2020</t>
  </si>
  <si>
    <t xml:space="preserve"> May 2020</t>
  </si>
  <si>
    <t>Jun. 2020</t>
  </si>
  <si>
    <t>Jul. 2020</t>
  </si>
  <si>
    <t>Aug. 2020</t>
  </si>
  <si>
    <t>Month, Year</t>
  </si>
  <si>
    <t>Year</t>
  </si>
  <si>
    <t>Month</t>
  </si>
  <si>
    <t>May. 2006</t>
  </si>
  <si>
    <t>May. 2007</t>
  </si>
  <si>
    <t>May. 2008</t>
  </si>
  <si>
    <t>May. 2009</t>
  </si>
  <si>
    <t>May. 2010</t>
  </si>
  <si>
    <t>May. 2011</t>
  </si>
  <si>
    <t>May. 2012</t>
  </si>
  <si>
    <t>Period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</si>
  <si>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</si>
  <si>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</si>
  <si>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</si>
  <si>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</si>
  <si>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</si>
  <si>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</si>
  <si>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</si>
  <si>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</si>
  <si>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</si>
  <si>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</si>
  <si>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</si>
  <si>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</si>
  <si>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</si>
  <si>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</si>
  <si>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</si>
  <si>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</si>
  <si>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</si>
  <si>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</si>
  <si>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</si>
  <si>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</si>
  <si>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</si>
  <si>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</si>
  <si>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RESIDUAL OUTPUT</t>
  </si>
  <si>
    <t>Observation</t>
  </si>
  <si>
    <t>Predicted Over the Counter Drugs</t>
  </si>
  <si>
    <t>Residuals</t>
  </si>
  <si>
    <t>Period Square</t>
  </si>
  <si>
    <t>Log Over the counter drugs</t>
  </si>
  <si>
    <t>Predicted Log Over the counter drugs</t>
  </si>
  <si>
    <t>Moving Average</t>
  </si>
  <si>
    <t>Ratio to Moving avg</t>
  </si>
  <si>
    <t>Seasonal Factors</t>
  </si>
  <si>
    <t>Aug</t>
  </si>
  <si>
    <t>Sep</t>
  </si>
  <si>
    <t>Oct</t>
  </si>
  <si>
    <t>Nov</t>
  </si>
  <si>
    <t>Dec</t>
  </si>
  <si>
    <t>Jan</t>
  </si>
  <si>
    <t>Feb</t>
  </si>
  <si>
    <t>Mar</t>
  </si>
  <si>
    <t>Apr</t>
  </si>
  <si>
    <t>May</t>
  </si>
  <si>
    <t>Jun</t>
  </si>
  <si>
    <t>Jul</t>
  </si>
  <si>
    <t>Seasonal Factor</t>
  </si>
  <si>
    <t>Deseasonalised Over the Counter Drugs</t>
  </si>
  <si>
    <t>Year square</t>
  </si>
  <si>
    <t>Error</t>
  </si>
  <si>
    <t>Error ^2</t>
  </si>
  <si>
    <t>MSE</t>
  </si>
  <si>
    <t>RMSE</t>
  </si>
  <si>
    <t>Deseasonalised Log Over the Counter Drugs</t>
  </si>
  <si>
    <t>Predicted Deseasonalised Log Over the Counter Drugs</t>
  </si>
  <si>
    <t>Deseasonalised Forecast</t>
  </si>
  <si>
    <t>Forecast</t>
  </si>
  <si>
    <t>Forecast Log</t>
  </si>
  <si>
    <t>Sales</t>
  </si>
  <si>
    <t xml:space="preserve">Question 2: What is the adjusted R-square of the linear model without dummies </t>
  </si>
  <si>
    <t>Q3: What is the adjusted R-Square of the quadratic model? (Use period square, no dummies, no year)</t>
  </si>
  <si>
    <t>Q4: What is the Adjusted R-Square of the exponential model? (Use Period, no dummies)</t>
  </si>
  <si>
    <t>Q5: What are the deseasonalised sales for December 2013?</t>
  </si>
  <si>
    <t>Q6: What is the seasonal factor for the month of September</t>
  </si>
  <si>
    <t xml:space="preserve">Dec was omitted in the input while doing regression </t>
  </si>
  <si>
    <t>Q7: What is the RMSE of th quadratic model using dummy variables for the months? (Use year square, do not use period)</t>
  </si>
  <si>
    <t>Q9: Enter your forecast for the next 12 months.</t>
  </si>
  <si>
    <t>From the forecast, it is clear that the trend of highest sales in december is still continuing and the seasonal factors are well contributed. Also looking at the Adjusted R2 and the RSME we can saythat this forecast was a good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</si>
</sst>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 numFmtId="167" formatCode="0.000"/>
    <numFmt numFmtId="168" formatCode="_(&quot;$&quot;* #,##0.000_);_(&quot;$&quot;* \(#,##0.000\);_(&quot;$&quot;*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i/>
      <sz val="11"/>
      <color theme="1"/>
      <name val="Calibri"/>
      <family val="2"/>
      <scheme val="minor"/>
    </font>
    <font>
      <b/>
      <sz val="12"/>
      <color theme="1"/>
      <name val="Calibri"/>
      <family val="2"/>
      <scheme val="minor"/>
    </font>
    <font>
      <b/>
      <sz val="14"/>
      <color theme="1"/>
      <name val="Calibri"/>
      <family val="2"/>
      <scheme val="minor"/>
    </font>
    <font>
      <sz val="8"/>
      <name val="Calibri"/>
      <family val="2"/>
      <scheme val="minor"/>
    </font>
    <font>
      <sz val="14"/>
      <color rgb="FF595959"/>
      <name val="Calibri"/>
      <family val="2"/>
      <scheme val="minor"/>
    </font>
  </fonts>
  <fills count="2">
    <fill>
      <patternFill patternType="none"/>
    </fill>
    <fill>
      <patternFill patternType="gray125"/>
    </fill>
  </fills>
  <borders count="14">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144">
    <xf numFmtId="0" fontId="0" fillId="0" borderId="0" xfId="0"/>
    <xf numFmtId="49" fontId="0" fillId="0" borderId="0" xfId="0" applyNumberFormat="1"/>
    <xf numFmtId="0" fontId="3" fillId="0" borderId="0" xfId="4" applyFont="1"/>
    <xf numFmtId="49" fontId="3" fillId="0" borderId="0" xfId="4" applyNumberFormat="1" applyFont="1"/>
    <xf numFmtId="0" fontId="1" fillId="0" borderId="0" xfId="4"/>
    <xf numFmtId="49" fontId="1" fillId="0" borderId="0" xfId="4" applyNumberFormat="1"/>
    <xf numFmtId="0" fontId="0" fillId="0" borderId="0" xfId="0" applyNumberFormat="1"/>
    <xf numFmtId="164" fontId="0" fillId="0" borderId="0" xfId="1" applyNumberFormat="1" applyFont="1" applyFill="1"/>
    <xf numFmtId="43" fontId="0" fillId="0" borderId="0" xfId="1" applyFont="1"/>
    <xf numFmtId="43" fontId="4" fillId="0" borderId="3" xfId="1" applyFont="1" applyFill="1" applyBorder="1" applyAlignment="1">
      <alignment horizontal="centerContinuous"/>
    </xf>
    <xf numFmtId="43" fontId="0" fillId="0" borderId="0" xfId="1" applyFont="1" applyFill="1" applyBorder="1" applyAlignment="1"/>
    <xf numFmtId="43" fontId="0" fillId="0" borderId="2" xfId="1" applyFont="1" applyFill="1" applyBorder="1" applyAlignment="1"/>
    <xf numFmtId="43" fontId="4" fillId="0" borderId="3" xfId="1" applyFont="1" applyFill="1" applyBorder="1" applyAlignment="1">
      <alignment horizontal="center"/>
    </xf>
    <xf numFmtId="9" fontId="0" fillId="0" borderId="0" xfId="3" applyFont="1" applyFill="1" applyBorder="1" applyAlignment="1"/>
    <xf numFmtId="165" fontId="0" fillId="0" borderId="0" xfId="3" applyNumberFormat="1" applyFont="1" applyFill="1" applyBorder="1" applyAlignment="1"/>
    <xf numFmtId="10" fontId="0" fillId="0" borderId="0" xfId="3" applyNumberFormat="1" applyFont="1" applyFill="1" applyBorder="1" applyAlignment="1"/>
    <xf numFmtId="9" fontId="0" fillId="0" borderId="2" xfId="3" applyFont="1" applyFill="1" applyBorder="1" applyAlignment="1"/>
    <xf numFmtId="10" fontId="2" fillId="0" borderId="0" xfId="3" applyNumberFormat="1" applyFont="1" applyFill="1" applyBorder="1" applyAlignment="1"/>
    <xf numFmtId="44" fontId="0" fillId="0" borderId="0" xfId="2" applyFont="1" applyFill="1"/>
    <xf numFmtId="44" fontId="3" fillId="0" borderId="0" xfId="2" applyFont="1" applyFill="1"/>
    <xf numFmtId="44" fontId="1" fillId="0" borderId="0" xfId="2" applyFill="1"/>
    <xf numFmtId="166" fontId="0" fillId="0" borderId="0" xfId="2" applyNumberFormat="1" applyFont="1" applyFill="1"/>
    <xf numFmtId="166" fontId="3" fillId="0" borderId="0" xfId="2" applyNumberFormat="1" applyFont="1" applyFill="1"/>
    <xf numFmtId="166" fontId="1" fillId="0" borderId="0" xfId="2" applyNumberFormat="1" applyFill="1"/>
    <xf numFmtId="44" fontId="0" fillId="0" borderId="0" xfId="2" applyFont="1" applyFill="1" applyBorder="1" applyAlignment="1"/>
    <xf numFmtId="44" fontId="0" fillId="0" borderId="2" xfId="2" applyFont="1" applyFill="1" applyBorder="1" applyAlignment="1"/>
    <xf numFmtId="0" fontId="0" fillId="0" borderId="2" xfId="1" applyNumberFormat="1" applyFont="1" applyFill="1" applyBorder="1" applyAlignment="1"/>
    <xf numFmtId="1" fontId="0" fillId="0" borderId="2" xfId="1" applyNumberFormat="1" applyFont="1" applyFill="1" applyBorder="1" applyAlignment="1"/>
    <xf numFmtId="164" fontId="0" fillId="0" borderId="0" xfId="1" applyNumberFormat="1" applyFont="1" applyFill="1" applyBorder="1" applyAlignment="1"/>
    <xf numFmtId="164" fontId="0" fillId="0" borderId="2" xfId="1" applyNumberFormat="1" applyFont="1" applyFill="1" applyBorder="1" applyAlignment="1"/>
    <xf numFmtId="167" fontId="0" fillId="0" borderId="0" xfId="0" applyNumberFormat="1"/>
    <xf numFmtId="165" fontId="6" fillId="0" borderId="0" xfId="3" applyNumberFormat="1" applyFont="1" applyFill="1" applyBorder="1" applyAlignment="1"/>
    <xf numFmtId="168" fontId="0" fillId="0" borderId="0" xfId="2" applyNumberFormat="1" applyFont="1" applyFill="1" applyBorder="1" applyAlignment="1"/>
    <xf numFmtId="168" fontId="0" fillId="0" borderId="2" xfId="2" applyNumberFormat="1" applyFont="1" applyFill="1" applyBorder="1" applyAlignment="1"/>
    <xf numFmtId="2" fontId="0" fillId="0" borderId="0" xfId="1" applyNumberFormat="1" applyFont="1" applyFill="1" applyBorder="1" applyAlignment="1"/>
    <xf numFmtId="2" fontId="0" fillId="0" borderId="2" xfId="1" applyNumberFormat="1" applyFont="1" applyFill="1" applyBorder="1" applyAlignment="1"/>
    <xf numFmtId="2" fontId="0" fillId="0" borderId="0" xfId="0" applyNumberFormat="1"/>
    <xf numFmtId="44" fontId="0" fillId="0" borderId="0" xfId="2" applyFont="1"/>
    <xf numFmtId="166" fontId="0" fillId="0" borderId="0" xfId="2" applyNumberFormat="1" applyFont="1"/>
    <xf numFmtId="10" fontId="0" fillId="0" borderId="2" xfId="3" applyNumberFormat="1" applyFont="1" applyFill="1" applyBorder="1" applyAlignment="1"/>
    <xf numFmtId="43" fontId="2" fillId="0" borderId="0" xfId="1" applyFont="1"/>
    <xf numFmtId="43" fontId="6" fillId="0" borderId="0" xfId="1" applyFont="1"/>
    <xf numFmtId="166" fontId="6" fillId="0" borderId="0" xfId="2" applyNumberFormat="1" applyFont="1"/>
    <xf numFmtId="168" fontId="0" fillId="0" borderId="0" xfId="2" applyNumberFormat="1" applyFont="1" applyFill="1"/>
    <xf numFmtId="168" fontId="0" fillId="0" borderId="0" xfId="2" applyNumberFormat="1" applyFont="1"/>
    <xf numFmtId="44" fontId="4" fillId="0" borderId="3" xfId="2" applyFont="1" applyFill="1" applyBorder="1" applyAlignment="1">
      <alignment horizontal="center"/>
    </xf>
    <xf numFmtId="17" fontId="0" fillId="0" borderId="7" xfId="1" applyNumberFormat="1" applyFont="1" applyBorder="1"/>
    <xf numFmtId="1" fontId="0" fillId="0" borderId="0" xfId="1" applyNumberFormat="1" applyFont="1" applyBorder="1"/>
    <xf numFmtId="44" fontId="0" fillId="0" borderId="0" xfId="2" applyFont="1" applyBorder="1"/>
    <xf numFmtId="2" fontId="0" fillId="0" borderId="0" xfId="0" applyNumberFormat="1" applyBorder="1"/>
    <xf numFmtId="166" fontId="0" fillId="0" borderId="8" xfId="2" applyNumberFormat="1" applyFont="1" applyBorder="1"/>
    <xf numFmtId="17" fontId="0" fillId="0" borderId="9" xfId="1" applyNumberFormat="1" applyFont="1" applyBorder="1"/>
    <xf numFmtId="1" fontId="0" fillId="0" borderId="2" xfId="1" applyNumberFormat="1" applyFont="1" applyBorder="1"/>
    <xf numFmtId="44" fontId="0" fillId="0" borderId="2" xfId="2" applyFont="1" applyBorder="1"/>
    <xf numFmtId="2" fontId="0" fillId="0" borderId="2" xfId="0" applyNumberFormat="1" applyBorder="1"/>
    <xf numFmtId="166" fontId="0" fillId="0" borderId="10" xfId="2" applyNumberFormat="1" applyFont="1" applyBorder="1"/>
    <xf numFmtId="43" fontId="2" fillId="0" borderId="11" xfId="1" applyFont="1" applyBorder="1"/>
    <xf numFmtId="166" fontId="2" fillId="0" borderId="12" xfId="2" applyNumberFormat="1" applyFont="1" applyBorder="1"/>
    <xf numFmtId="43" fontId="2" fillId="0" borderId="13" xfId="1" applyFont="1" applyBorder="1"/>
    <xf numFmtId="43" fontId="2" fillId="0" borderId="12" xfId="1" applyFont="1" applyBorder="1"/>
    <xf numFmtId="49" fontId="0" fillId="0" borderId="7" xfId="0" applyNumberFormat="1" applyBorder="1"/>
    <xf numFmtId="0" fontId="0" fillId="0" borderId="0" xfId="0" applyBorder="1"/>
    <xf numFmtId="44" fontId="0" fillId="0" borderId="0" xfId="2" applyFont="1" applyFill="1" applyBorder="1"/>
    <xf numFmtId="0" fontId="0" fillId="0" borderId="0" xfId="0" applyNumberFormat="1" applyBorder="1"/>
    <xf numFmtId="0" fontId="0" fillId="0" borderId="8" xfId="0" applyBorder="1"/>
    <xf numFmtId="0" fontId="3" fillId="0" borderId="7" xfId="4" applyFont="1" applyBorder="1"/>
    <xf numFmtId="44" fontId="3" fillId="0" borderId="0" xfId="2" applyFont="1" applyFill="1" applyBorder="1"/>
    <xf numFmtId="49" fontId="3" fillId="0" borderId="7" xfId="4" applyNumberFormat="1" applyFont="1" applyBorder="1"/>
    <xf numFmtId="0" fontId="1" fillId="0" borderId="7" xfId="4" applyBorder="1"/>
    <xf numFmtId="44" fontId="1" fillId="0" borderId="0" xfId="2" applyFill="1" applyBorder="1"/>
    <xf numFmtId="49" fontId="1" fillId="0" borderId="7" xfId="4" applyNumberFormat="1" applyBorder="1"/>
    <xf numFmtId="0" fontId="1" fillId="0" borderId="9" xfId="4" applyBorder="1"/>
    <xf numFmtId="0" fontId="0" fillId="0" borderId="2" xfId="0" applyBorder="1"/>
    <xf numFmtId="44" fontId="1" fillId="0" borderId="2" xfId="2" applyFill="1" applyBorder="1"/>
    <xf numFmtId="0" fontId="0" fillId="0" borderId="2" xfId="0" applyNumberFormat="1" applyBorder="1"/>
    <xf numFmtId="0" fontId="0" fillId="0" borderId="10" xfId="0" applyBorder="1"/>
    <xf numFmtId="0" fontId="2" fillId="0" borderId="11" xfId="0" applyFont="1" applyBorder="1"/>
    <xf numFmtId="0" fontId="2" fillId="0" borderId="13" xfId="0" applyFont="1" applyBorder="1"/>
    <xf numFmtId="44" fontId="2" fillId="0" borderId="13" xfId="2" applyFont="1" applyFill="1" applyBorder="1"/>
    <xf numFmtId="0" fontId="2" fillId="0" borderId="12" xfId="0" applyFont="1" applyBorder="1"/>
    <xf numFmtId="0" fontId="0" fillId="0" borderId="11" xfId="0" applyBorder="1"/>
    <xf numFmtId="0" fontId="0" fillId="0" borderId="13" xfId="0" applyBorder="1"/>
    <xf numFmtId="164" fontId="0" fillId="0" borderId="13" xfId="1" applyNumberFormat="1" applyFont="1" applyFill="1" applyBorder="1"/>
    <xf numFmtId="164" fontId="2" fillId="0" borderId="13" xfId="1" applyNumberFormat="1" applyFont="1" applyFill="1" applyBorder="1"/>
    <xf numFmtId="166" fontId="0" fillId="0" borderId="0" xfId="2" applyNumberFormat="1" applyFont="1" applyFill="1" applyBorder="1"/>
    <xf numFmtId="166" fontId="3" fillId="0" borderId="0" xfId="2" applyNumberFormat="1" applyFont="1" applyFill="1" applyBorder="1"/>
    <xf numFmtId="166" fontId="1" fillId="0" borderId="0" xfId="2" applyNumberFormat="1" applyFill="1" applyBorder="1"/>
    <xf numFmtId="166" fontId="1" fillId="0" borderId="2" xfId="2" applyNumberFormat="1" applyFill="1" applyBorder="1"/>
    <xf numFmtId="166" fontId="0" fillId="0" borderId="0" xfId="2" applyNumberFormat="1" applyFont="1" applyFill="1" applyBorder="1" applyAlignment="1"/>
    <xf numFmtId="167" fontId="0" fillId="0" borderId="8" xfId="0" applyNumberFormat="1" applyBorder="1"/>
    <xf numFmtId="167" fontId="0" fillId="0" borderId="10" xfId="0" applyNumberFormat="1" applyBorder="1"/>
    <xf numFmtId="166" fontId="0" fillId="0" borderId="0" xfId="0" applyNumberFormat="1" applyBorder="1"/>
    <xf numFmtId="0" fontId="0" fillId="0" borderId="7" xfId="0" applyBorder="1"/>
    <xf numFmtId="164" fontId="0" fillId="0" borderId="0" xfId="1" applyNumberFormat="1" applyFont="1" applyFill="1" applyBorder="1"/>
    <xf numFmtId="2" fontId="0" fillId="0" borderId="7" xfId="0" applyNumberFormat="1" applyBorder="1"/>
    <xf numFmtId="2" fontId="0" fillId="0" borderId="9" xfId="0" applyNumberFormat="1" applyBorder="1"/>
    <xf numFmtId="167" fontId="0" fillId="0" borderId="0" xfId="0" applyNumberFormat="1" applyBorder="1"/>
    <xf numFmtId="2" fontId="0" fillId="0" borderId="8" xfId="0" applyNumberFormat="1" applyBorder="1"/>
    <xf numFmtId="166" fontId="0" fillId="0" borderId="2" xfId="0" applyNumberFormat="1" applyBorder="1"/>
    <xf numFmtId="2" fontId="0" fillId="0" borderId="10" xfId="0" applyNumberFormat="1" applyBorder="1"/>
    <xf numFmtId="164" fontId="0" fillId="0" borderId="12" xfId="1" applyNumberFormat="1" applyFont="1" applyFill="1" applyBorder="1"/>
    <xf numFmtId="167" fontId="0" fillId="0" borderId="2" xfId="0" applyNumberFormat="1" applyBorder="1"/>
    <xf numFmtId="166" fontId="6" fillId="0" borderId="8" xfId="2" applyNumberFormat="1" applyFont="1" applyBorder="1"/>
    <xf numFmtId="2" fontId="5" fillId="0" borderId="7" xfId="0" applyNumberFormat="1" applyFont="1" applyBorder="1"/>
    <xf numFmtId="0" fontId="5" fillId="0" borderId="8" xfId="0" applyFont="1" applyBorder="1"/>
    <xf numFmtId="0" fontId="0" fillId="0" borderId="4" xfId="0" applyBorder="1"/>
    <xf numFmtId="10" fontId="6" fillId="0" borderId="0" xfId="3" applyNumberFormat="1" applyFont="1" applyFill="1" applyBorder="1" applyAlignment="1"/>
    <xf numFmtId="43" fontId="5" fillId="0" borderId="5" xfId="1" applyFont="1" applyBorder="1"/>
    <xf numFmtId="166" fontId="5" fillId="0" borderId="6" xfId="2" applyNumberFormat="1" applyFont="1" applyBorder="1"/>
    <xf numFmtId="43" fontId="5" fillId="0" borderId="9" xfId="1" applyFont="1" applyBorder="1"/>
    <xf numFmtId="166" fontId="5" fillId="0" borderId="10" xfId="2" applyNumberFormat="1" applyFont="1" applyBorder="1"/>
    <xf numFmtId="0" fontId="8" fillId="0" borderId="0" xfId="0" applyFont="1" applyAlignment="1">
      <alignment horizontal="center" vertical="center" readingOrder="1"/>
    </xf>
    <xf numFmtId="2" fontId="0" fillId="0" borderId="0" xfId="2" applyNumberFormat="1" applyFont="1"/>
    <xf numFmtId="43" fontId="2" fillId="0" borderId="11" xfId="1" applyFont="1" applyBorder="1" applyAlignment="1">
      <alignment horizontal="center"/>
    </xf>
    <xf numFmtId="43" fontId="2" fillId="0" borderId="13" xfId="1" applyFont="1" applyBorder="1" applyAlignment="1">
      <alignment horizontal="center"/>
    </xf>
    <xf numFmtId="43" fontId="2" fillId="0" borderId="12" xfId="1" applyFont="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2" xfId="0" applyFont="1" applyBorder="1" applyAlignment="1">
      <alignment horizontal="center"/>
    </xf>
    <xf numFmtId="0" fontId="2" fillId="0" borderId="5" xfId="0" applyFont="1" applyBorder="1" applyAlignment="1">
      <alignment horizontal="center" wrapText="1"/>
    </xf>
    <xf numFmtId="0" fontId="2" fillId="0" borderId="1"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0"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2" xfId="0" applyFont="1" applyBorder="1" applyAlignment="1">
      <alignment horizontal="center" wrapText="1"/>
    </xf>
    <xf numFmtId="0" fontId="2" fillId="0" borderId="10" xfId="0" applyFont="1" applyBorder="1" applyAlignment="1">
      <alignment horizontal="center" wrapText="1"/>
    </xf>
    <xf numFmtId="0" fontId="0" fillId="0" borderId="5"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ont="1" applyFill="1" applyBorder="1" applyAlignment="1">
      <alignment horizontal="center" vertical="center" wrapText="1"/>
    </xf>
    <xf numFmtId="43" fontId="2" fillId="0" borderId="11" xfId="1" applyFont="1" applyBorder="1" applyAlignment="1">
      <alignment horizontal="center" wrapText="1"/>
    </xf>
    <xf numFmtId="43" fontId="2" fillId="0" borderId="13" xfId="1" applyFont="1" applyBorder="1" applyAlignment="1">
      <alignment horizontal="center" wrapText="1"/>
    </xf>
    <xf numFmtId="43" fontId="2" fillId="0" borderId="12" xfId="1" applyFont="1" applyBorder="1" applyAlignment="1">
      <alignment horizontal="center" wrapText="1"/>
    </xf>
    <xf numFmtId="43" fontId="0" fillId="0" borderId="11" xfId="1" applyFont="1" applyBorder="1" applyAlignment="1">
      <alignment horizontal="center" vertical="center"/>
    </xf>
    <xf numFmtId="43" fontId="0" fillId="0" borderId="13" xfId="1" applyFont="1" applyBorder="1" applyAlignment="1">
      <alignment horizontal="center" vertical="center"/>
    </xf>
    <xf numFmtId="43" fontId="0" fillId="0" borderId="12" xfId="1" applyFont="1" applyBorder="1" applyAlignment="1">
      <alignment horizontal="center" vertical="center"/>
    </xf>
    <xf numFmtId="43" fontId="2" fillId="0" borderId="0" xfId="1" applyFont="1" applyAlignment="1">
      <alignment horizontal="center" wrapText="1"/>
    </xf>
  </cellXfs>
  <cellStyles count="5">
    <cellStyle name="Comma" xfId="1" builtinId="3"/>
    <cellStyle name="Currency" xfId="2" builtinId="4"/>
    <cellStyle name="Normal" xfId="0" builtinId="0"/>
    <cellStyle name="Normal 6" xfId="4" xr:uid="{E87D5B83-9CE0-4719-91A0-4A3A8FE92E74}"/>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Scatter plot to analyse the trend - Over the Counter Drugs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 Data with scatter'!$C$1</c:f>
              <c:strCache>
                <c:ptCount val="1"/>
                <c:pt idx="0">
                  <c:v> Over the Counter Drugs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 Data with scatter'!$A$2:$A$181</c:f>
              <c:strCache>
                <c:ptCount val="180"/>
                <c:pt idx="0">
                  <c:v>Sep. 2005</c:v>
                </c:pt>
                <c:pt idx="1">
                  <c:v>Oct. 2005</c:v>
                </c:pt>
                <c:pt idx="2">
                  <c:v>Nov. 2005</c:v>
                </c:pt>
                <c:pt idx="3">
                  <c:v>Dec. 2005</c:v>
                </c:pt>
                <c:pt idx="4">
                  <c:v>Jan. 2006</c:v>
                </c:pt>
                <c:pt idx="5">
                  <c:v>Feb. 2006</c:v>
                </c:pt>
                <c:pt idx="6">
                  <c:v>Mar. 2006</c:v>
                </c:pt>
                <c:pt idx="7">
                  <c:v>Apr. 2006</c:v>
                </c:pt>
                <c:pt idx="8">
                  <c:v>May. 2006</c:v>
                </c:pt>
                <c:pt idx="9">
                  <c:v>Jun. 2006</c:v>
                </c:pt>
                <c:pt idx="10">
                  <c:v>Jul. 2006</c:v>
                </c:pt>
                <c:pt idx="11">
                  <c:v>Aug. 2006</c:v>
                </c:pt>
                <c:pt idx="12">
                  <c:v>Sep. 2006</c:v>
                </c:pt>
                <c:pt idx="13">
                  <c:v>Oct. 2006</c:v>
                </c:pt>
                <c:pt idx="14">
                  <c:v>Nov. 2006</c:v>
                </c:pt>
                <c:pt idx="15">
                  <c:v>Dec. 2006</c:v>
                </c:pt>
                <c:pt idx="16">
                  <c:v>Jan. 2007</c:v>
                </c:pt>
                <c:pt idx="17">
                  <c:v>Feb. 2007</c:v>
                </c:pt>
                <c:pt idx="18">
                  <c:v>Mar. 2007</c:v>
                </c:pt>
                <c:pt idx="19">
                  <c:v>Apr. 2007</c:v>
                </c:pt>
                <c:pt idx="20">
                  <c:v>May. 2007</c:v>
                </c:pt>
                <c:pt idx="21">
                  <c:v>Jun. 2007</c:v>
                </c:pt>
                <c:pt idx="22">
                  <c:v>Jul. 2007</c:v>
                </c:pt>
                <c:pt idx="23">
                  <c:v>Aug. 2007</c:v>
                </c:pt>
                <c:pt idx="24">
                  <c:v>Sep. 2007</c:v>
                </c:pt>
                <c:pt idx="25">
                  <c:v>Oct. 2007</c:v>
                </c:pt>
                <c:pt idx="26">
                  <c:v>Nov. 2007</c:v>
                </c:pt>
                <c:pt idx="27">
                  <c:v>Dec. 2007</c:v>
                </c:pt>
                <c:pt idx="28">
                  <c:v>Jan. 2008</c:v>
                </c:pt>
                <c:pt idx="29">
                  <c:v>Feb. 2008</c:v>
                </c:pt>
                <c:pt idx="30">
                  <c:v>Mar. 2008</c:v>
                </c:pt>
                <c:pt idx="31">
                  <c:v>Apr. 2008</c:v>
                </c:pt>
                <c:pt idx="32">
                  <c:v>May. 2008</c:v>
                </c:pt>
                <c:pt idx="33">
                  <c:v>Jun. 2008</c:v>
                </c:pt>
                <c:pt idx="34">
                  <c:v>Jul. 2008</c:v>
                </c:pt>
                <c:pt idx="35">
                  <c:v>Aug. 2008</c:v>
                </c:pt>
                <c:pt idx="36">
                  <c:v>Sep. 2008</c:v>
                </c:pt>
                <c:pt idx="37">
                  <c:v>Oct. 2008</c:v>
                </c:pt>
                <c:pt idx="38">
                  <c:v>Nov. 2008</c:v>
                </c:pt>
                <c:pt idx="39">
                  <c:v>Dec. 2008</c:v>
                </c:pt>
                <c:pt idx="40">
                  <c:v>Jan. 2009</c:v>
                </c:pt>
                <c:pt idx="41">
                  <c:v>Feb. 2009</c:v>
                </c:pt>
                <c:pt idx="42">
                  <c:v>Mar. 2009</c:v>
                </c:pt>
                <c:pt idx="43">
                  <c:v>Apr. 2009</c:v>
                </c:pt>
                <c:pt idx="44">
                  <c:v>May. 2009</c:v>
                </c:pt>
                <c:pt idx="45">
                  <c:v>Jun. 2009</c:v>
                </c:pt>
                <c:pt idx="46">
                  <c:v>Jul. 2009</c:v>
                </c:pt>
                <c:pt idx="47">
                  <c:v>Aug. 2009</c:v>
                </c:pt>
                <c:pt idx="48">
                  <c:v>Sep. 2009</c:v>
                </c:pt>
                <c:pt idx="49">
                  <c:v>Oct. 2009</c:v>
                </c:pt>
                <c:pt idx="50">
                  <c:v>Nov. 2009</c:v>
                </c:pt>
                <c:pt idx="51">
                  <c:v>Dec. 2009</c:v>
                </c:pt>
                <c:pt idx="52">
                  <c:v>Jan. 2010</c:v>
                </c:pt>
                <c:pt idx="53">
                  <c:v>Feb. 2010</c:v>
                </c:pt>
                <c:pt idx="54">
                  <c:v>Mar. 2010</c:v>
                </c:pt>
                <c:pt idx="55">
                  <c:v>Apr. 2010</c:v>
                </c:pt>
                <c:pt idx="56">
                  <c:v>May. 2010</c:v>
                </c:pt>
                <c:pt idx="57">
                  <c:v>Jun. 2010</c:v>
                </c:pt>
                <c:pt idx="58">
                  <c:v>Jul. 2010</c:v>
                </c:pt>
                <c:pt idx="59">
                  <c:v>Aug. 2010</c:v>
                </c:pt>
                <c:pt idx="60">
                  <c:v>Sep. 2010</c:v>
                </c:pt>
                <c:pt idx="61">
                  <c:v>Oct. 2010</c:v>
                </c:pt>
                <c:pt idx="62">
                  <c:v>Nov. 2010</c:v>
                </c:pt>
                <c:pt idx="63">
                  <c:v>Dec. 2010</c:v>
                </c:pt>
                <c:pt idx="64">
                  <c:v>Jan. 2011</c:v>
                </c:pt>
                <c:pt idx="65">
                  <c:v>Feb. 2011</c:v>
                </c:pt>
                <c:pt idx="66">
                  <c:v>Mar. 2011</c:v>
                </c:pt>
                <c:pt idx="67">
                  <c:v>Apr. 2011</c:v>
                </c:pt>
                <c:pt idx="68">
                  <c:v>May. 2011</c:v>
                </c:pt>
                <c:pt idx="69">
                  <c:v>Jun. 2011</c:v>
                </c:pt>
                <c:pt idx="70">
                  <c:v>Jul. 2011</c:v>
                </c:pt>
                <c:pt idx="71">
                  <c:v>Aug. 2011</c:v>
                </c:pt>
                <c:pt idx="72">
                  <c:v>Sep. 2011</c:v>
                </c:pt>
                <c:pt idx="73">
                  <c:v>Oct. 2011</c:v>
                </c:pt>
                <c:pt idx="74">
                  <c:v>Nov. 2011</c:v>
                </c:pt>
                <c:pt idx="75">
                  <c:v>Dec. 2011</c:v>
                </c:pt>
                <c:pt idx="76">
                  <c:v>Jan. 2012</c:v>
                </c:pt>
                <c:pt idx="77">
                  <c:v>Feb. 2012</c:v>
                </c:pt>
                <c:pt idx="78">
                  <c:v>Mar. 2012</c:v>
                </c:pt>
                <c:pt idx="79">
                  <c:v>Apr. 2012</c:v>
                </c:pt>
                <c:pt idx="80">
                  <c:v>May. 2012</c:v>
                </c:pt>
                <c:pt idx="81">
                  <c:v>Jun. 2012</c:v>
                </c:pt>
                <c:pt idx="82">
                  <c:v>Jul. 2012</c:v>
                </c:pt>
                <c:pt idx="83">
                  <c:v>Aug. 2012</c:v>
                </c:pt>
                <c:pt idx="84">
                  <c:v>Sep. 2012</c:v>
                </c:pt>
                <c:pt idx="85">
                  <c:v>Oct. 2012</c:v>
                </c:pt>
                <c:pt idx="86">
                  <c:v>Nov. 2012</c:v>
                </c:pt>
                <c:pt idx="87">
                  <c:v>Dec. 2012</c:v>
                </c:pt>
                <c:pt idx="88">
                  <c:v>Jan. 2013</c:v>
                </c:pt>
                <c:pt idx="89">
                  <c:v>Feb. 2013</c:v>
                </c:pt>
                <c:pt idx="90">
                  <c:v>Mar. 2013</c:v>
                </c:pt>
                <c:pt idx="91">
                  <c:v>Apr. 2013</c:v>
                </c:pt>
                <c:pt idx="92">
                  <c:v> May 2013</c:v>
                </c:pt>
                <c:pt idx="93">
                  <c:v>Jun. 2013</c:v>
                </c:pt>
                <c:pt idx="94">
                  <c:v>Jul. 2013</c:v>
                </c:pt>
                <c:pt idx="95">
                  <c:v>Aug. 2013</c:v>
                </c:pt>
                <c:pt idx="96">
                  <c:v>Sep. 2013</c:v>
                </c:pt>
                <c:pt idx="97">
                  <c:v>Oct. 2013</c:v>
                </c:pt>
                <c:pt idx="98">
                  <c:v>Nov. 2013</c:v>
                </c:pt>
                <c:pt idx="99">
                  <c:v>Dec. 2013</c:v>
                </c:pt>
                <c:pt idx="100">
                  <c:v>Jan. 2014</c:v>
                </c:pt>
                <c:pt idx="101">
                  <c:v>Feb. 2014</c:v>
                </c:pt>
                <c:pt idx="102">
                  <c:v>Mar. 2014</c:v>
                </c:pt>
                <c:pt idx="103">
                  <c:v>Apr. 2014</c:v>
                </c:pt>
                <c:pt idx="104">
                  <c:v> May 2014</c:v>
                </c:pt>
                <c:pt idx="105">
                  <c:v>Jun. 2014</c:v>
                </c:pt>
                <c:pt idx="106">
                  <c:v>Jul. 2014</c:v>
                </c:pt>
                <c:pt idx="107">
                  <c:v>Aug. 2014</c:v>
                </c:pt>
                <c:pt idx="108">
                  <c:v>Sep. 2014</c:v>
                </c:pt>
                <c:pt idx="109">
                  <c:v>Oct. 2014</c:v>
                </c:pt>
                <c:pt idx="110">
                  <c:v>Nov. 2014</c:v>
                </c:pt>
                <c:pt idx="111">
                  <c:v>Dec. 2014</c:v>
                </c:pt>
                <c:pt idx="112">
                  <c:v>Jan. 2015</c:v>
                </c:pt>
                <c:pt idx="113">
                  <c:v>Feb. 2015</c:v>
                </c:pt>
                <c:pt idx="114">
                  <c:v>Mar. 2015</c:v>
                </c:pt>
                <c:pt idx="115">
                  <c:v>Apr. 2015</c:v>
                </c:pt>
                <c:pt idx="116">
                  <c:v> May 2015</c:v>
                </c:pt>
                <c:pt idx="117">
                  <c:v>Jun. 2015</c:v>
                </c:pt>
                <c:pt idx="118">
                  <c:v>Jul. 2015</c:v>
                </c:pt>
                <c:pt idx="119">
                  <c:v>Aug. 2015</c:v>
                </c:pt>
                <c:pt idx="120">
                  <c:v>Sep. 2015</c:v>
                </c:pt>
                <c:pt idx="121">
                  <c:v>Oct. 2015</c:v>
                </c:pt>
                <c:pt idx="122">
                  <c:v>Nov. 2015</c:v>
                </c:pt>
                <c:pt idx="123">
                  <c:v>Dec. 2015</c:v>
                </c:pt>
                <c:pt idx="124">
                  <c:v>Jan. 2016</c:v>
                </c:pt>
                <c:pt idx="125">
                  <c:v>Feb. 2016</c:v>
                </c:pt>
                <c:pt idx="126">
                  <c:v>Mar. 2016</c:v>
                </c:pt>
                <c:pt idx="127">
                  <c:v>Apr. 2016</c:v>
                </c:pt>
                <c:pt idx="128">
                  <c:v> May 2016</c:v>
                </c:pt>
                <c:pt idx="129">
                  <c:v>Jun. 2016</c:v>
                </c:pt>
                <c:pt idx="130">
                  <c:v>Jul. 2016</c:v>
                </c:pt>
                <c:pt idx="131">
                  <c:v>Aug. 2016</c:v>
                </c:pt>
                <c:pt idx="132">
                  <c:v>Sep. 2016</c:v>
                </c:pt>
                <c:pt idx="133">
                  <c:v>Oct. 2016</c:v>
                </c:pt>
                <c:pt idx="134">
                  <c:v>Nov. 2016</c:v>
                </c:pt>
                <c:pt idx="135">
                  <c:v>Dec. 2016</c:v>
                </c:pt>
                <c:pt idx="136">
                  <c:v>Jan. 2017</c:v>
                </c:pt>
                <c:pt idx="137">
                  <c:v>Feb. 2017</c:v>
                </c:pt>
                <c:pt idx="138">
                  <c:v>Mar. 2017</c:v>
                </c:pt>
                <c:pt idx="139">
                  <c:v>Apr. 2017</c:v>
                </c:pt>
                <c:pt idx="140">
                  <c:v> May 2017</c:v>
                </c:pt>
                <c:pt idx="141">
                  <c:v>Jun. 2017</c:v>
                </c:pt>
                <c:pt idx="142">
                  <c:v>Jul. 2017</c:v>
                </c:pt>
                <c:pt idx="143">
                  <c:v>Aug. 2017</c:v>
                </c:pt>
                <c:pt idx="144">
                  <c:v>Sep. 2017</c:v>
                </c:pt>
                <c:pt idx="145">
                  <c:v>Oct. 2017</c:v>
                </c:pt>
                <c:pt idx="146">
                  <c:v>Nov. 2017</c:v>
                </c:pt>
                <c:pt idx="147">
                  <c:v>Dec. 2017</c:v>
                </c:pt>
                <c:pt idx="148">
                  <c:v>Jan. 2018</c:v>
                </c:pt>
                <c:pt idx="149">
                  <c:v>Feb. 2018</c:v>
                </c:pt>
                <c:pt idx="150">
                  <c:v>Mar. 2018</c:v>
                </c:pt>
                <c:pt idx="151">
                  <c:v>Apr. 2018</c:v>
                </c:pt>
                <c:pt idx="152">
                  <c:v> May 2018</c:v>
                </c:pt>
                <c:pt idx="153">
                  <c:v>Jun. 2018</c:v>
                </c:pt>
                <c:pt idx="154">
                  <c:v>Jul. 2018</c:v>
                </c:pt>
                <c:pt idx="155">
                  <c:v>Aug. 2018</c:v>
                </c:pt>
                <c:pt idx="156">
                  <c:v>Sep. 2018</c:v>
                </c:pt>
                <c:pt idx="157">
                  <c:v>Oct. 2018</c:v>
                </c:pt>
                <c:pt idx="158">
                  <c:v>Nov. 2018</c:v>
                </c:pt>
                <c:pt idx="159">
                  <c:v>Dec. 2018</c:v>
                </c:pt>
                <c:pt idx="160">
                  <c:v>Jan. 2019</c:v>
                </c:pt>
                <c:pt idx="161">
                  <c:v>Feb. 2019</c:v>
                </c:pt>
                <c:pt idx="162">
                  <c:v>Mar. 2019</c:v>
                </c:pt>
                <c:pt idx="163">
                  <c:v>Apr. 2019</c:v>
                </c:pt>
                <c:pt idx="164">
                  <c:v> May 2019</c:v>
                </c:pt>
                <c:pt idx="165">
                  <c:v>Jun. 2019</c:v>
                </c:pt>
                <c:pt idx="166">
                  <c:v>Jul. 2019</c:v>
                </c:pt>
                <c:pt idx="167">
                  <c:v>Aug. 2019</c:v>
                </c:pt>
                <c:pt idx="168">
                  <c:v>Sep. 2019</c:v>
                </c:pt>
                <c:pt idx="169">
                  <c:v>Oct. 2019</c:v>
                </c:pt>
                <c:pt idx="170">
                  <c:v>Nov. 2019</c:v>
                </c:pt>
                <c:pt idx="171">
                  <c:v>Dec. 2019</c:v>
                </c:pt>
                <c:pt idx="172">
                  <c:v>Jan. 2020</c:v>
                </c:pt>
                <c:pt idx="173">
                  <c:v>Feb. 2020</c:v>
                </c:pt>
                <c:pt idx="174">
                  <c:v>Mar. 2020</c:v>
                </c:pt>
                <c:pt idx="175">
                  <c:v>Apr. 2020</c:v>
                </c:pt>
                <c:pt idx="176">
                  <c:v> May 2020</c:v>
                </c:pt>
                <c:pt idx="177">
                  <c:v>Jun. 2020</c:v>
                </c:pt>
                <c:pt idx="178">
                  <c:v>Jul. 2020</c:v>
                </c:pt>
                <c:pt idx="179">
                  <c:v>Aug. 2020</c:v>
                </c:pt>
              </c:strCache>
            </c:strRef>
          </c:cat>
          <c:val>
            <c:numRef>
              <c:f>'Raw Data with scatter'!$C$2:$C$181</c:f>
              <c:numCache>
                <c:formatCode>_("$"* #,##0.00_);_("$"* \(#,##0.00\);_("$"* "-"??_);_(@_)</c:formatCode>
                <c:ptCount val="180"/>
                <c:pt idx="0">
                  <c:v>14615</c:v>
                </c:pt>
                <c:pt idx="1">
                  <c:v>14846</c:v>
                </c:pt>
                <c:pt idx="2">
                  <c:v>14885</c:v>
                </c:pt>
                <c:pt idx="3">
                  <c:v>17103</c:v>
                </c:pt>
                <c:pt idx="4">
                  <c:v>15257</c:v>
                </c:pt>
                <c:pt idx="5">
                  <c:v>14681</c:v>
                </c:pt>
                <c:pt idx="6">
                  <c:v>16174</c:v>
                </c:pt>
                <c:pt idx="7">
                  <c:v>15225</c:v>
                </c:pt>
                <c:pt idx="8">
                  <c:v>16271</c:v>
                </c:pt>
                <c:pt idx="9">
                  <c:v>15720</c:v>
                </c:pt>
                <c:pt idx="10">
                  <c:v>15426</c:v>
                </c:pt>
                <c:pt idx="11">
                  <c:v>16092</c:v>
                </c:pt>
                <c:pt idx="12">
                  <c:v>15483</c:v>
                </c:pt>
                <c:pt idx="13">
                  <c:v>16382</c:v>
                </c:pt>
                <c:pt idx="14">
                  <c:v>16252</c:v>
                </c:pt>
                <c:pt idx="15">
                  <c:v>18055</c:v>
                </c:pt>
                <c:pt idx="16">
                  <c:v>16985</c:v>
                </c:pt>
                <c:pt idx="17">
                  <c:v>15822</c:v>
                </c:pt>
                <c:pt idx="18">
                  <c:v>17258</c:v>
                </c:pt>
                <c:pt idx="19">
                  <c:v>16532</c:v>
                </c:pt>
                <c:pt idx="20">
                  <c:v>17279</c:v>
                </c:pt>
                <c:pt idx="21">
                  <c:v>16497</c:v>
                </c:pt>
                <c:pt idx="22">
                  <c:v>16542</c:v>
                </c:pt>
                <c:pt idx="23">
                  <c:v>16992</c:v>
                </c:pt>
                <c:pt idx="24">
                  <c:v>15966</c:v>
                </c:pt>
                <c:pt idx="25">
                  <c:v>17264</c:v>
                </c:pt>
                <c:pt idx="26">
                  <c:v>16713</c:v>
                </c:pt>
                <c:pt idx="27">
                  <c:v>18434</c:v>
                </c:pt>
                <c:pt idx="28">
                  <c:v>17449</c:v>
                </c:pt>
                <c:pt idx="29">
                  <c:v>17201</c:v>
                </c:pt>
                <c:pt idx="30">
                  <c:v>17719</c:v>
                </c:pt>
                <c:pt idx="31">
                  <c:v>17143</c:v>
                </c:pt>
                <c:pt idx="32">
                  <c:v>17871</c:v>
                </c:pt>
                <c:pt idx="33">
                  <c:v>17038</c:v>
                </c:pt>
                <c:pt idx="34">
                  <c:v>17413</c:v>
                </c:pt>
                <c:pt idx="35">
                  <c:v>17200</c:v>
                </c:pt>
                <c:pt idx="36">
                  <c:v>17176</c:v>
                </c:pt>
                <c:pt idx="37">
                  <c:v>18019</c:v>
                </c:pt>
                <c:pt idx="38">
                  <c:v>16975</c:v>
                </c:pt>
                <c:pt idx="39">
                  <c:v>19653</c:v>
                </c:pt>
                <c:pt idx="40">
                  <c:v>17741</c:v>
                </c:pt>
                <c:pt idx="41">
                  <c:v>17028</c:v>
                </c:pt>
                <c:pt idx="42">
                  <c:v>18501</c:v>
                </c:pt>
                <c:pt idx="43">
                  <c:v>18226</c:v>
                </c:pt>
                <c:pt idx="44">
                  <c:v>18146</c:v>
                </c:pt>
                <c:pt idx="45">
                  <c:v>17944</c:v>
                </c:pt>
                <c:pt idx="46">
                  <c:v>17957</c:v>
                </c:pt>
                <c:pt idx="47">
                  <c:v>17604</c:v>
                </c:pt>
                <c:pt idx="48">
                  <c:v>17770</c:v>
                </c:pt>
                <c:pt idx="49">
                  <c:v>18492</c:v>
                </c:pt>
                <c:pt idx="50">
                  <c:v>17784</c:v>
                </c:pt>
                <c:pt idx="51">
                  <c:v>20067</c:v>
                </c:pt>
                <c:pt idx="52">
                  <c:v>17874</c:v>
                </c:pt>
                <c:pt idx="53">
                  <c:v>17171</c:v>
                </c:pt>
                <c:pt idx="54">
                  <c:v>19214</c:v>
                </c:pt>
                <c:pt idx="55">
                  <c:v>18340</c:v>
                </c:pt>
                <c:pt idx="56">
                  <c:v>18295</c:v>
                </c:pt>
                <c:pt idx="57">
                  <c:v>18372</c:v>
                </c:pt>
                <c:pt idx="58">
                  <c:v>18170</c:v>
                </c:pt>
                <c:pt idx="59">
                  <c:v>18328</c:v>
                </c:pt>
                <c:pt idx="60">
                  <c:v>18124</c:v>
                </c:pt>
                <c:pt idx="61">
                  <c:v>18611</c:v>
                </c:pt>
                <c:pt idx="62">
                  <c:v>18724</c:v>
                </c:pt>
                <c:pt idx="63">
                  <c:v>21007</c:v>
                </c:pt>
                <c:pt idx="64">
                  <c:v>19155</c:v>
                </c:pt>
                <c:pt idx="65">
                  <c:v>18117</c:v>
                </c:pt>
                <c:pt idx="66">
                  <c:v>20042</c:v>
                </c:pt>
                <c:pt idx="67">
                  <c:v>18944</c:v>
                </c:pt>
                <c:pt idx="68">
                  <c:v>19505</c:v>
                </c:pt>
                <c:pt idx="69">
                  <c:v>19081</c:v>
                </c:pt>
                <c:pt idx="70">
                  <c:v>18541</c:v>
                </c:pt>
                <c:pt idx="71">
                  <c:v>19481</c:v>
                </c:pt>
                <c:pt idx="72">
                  <c:v>18845</c:v>
                </c:pt>
                <c:pt idx="73">
                  <c:v>19302</c:v>
                </c:pt>
                <c:pt idx="74">
                  <c:v>19103</c:v>
                </c:pt>
                <c:pt idx="75">
                  <c:v>21133</c:v>
                </c:pt>
                <c:pt idx="76">
                  <c:v>19401</c:v>
                </c:pt>
                <c:pt idx="77">
                  <c:v>19056</c:v>
                </c:pt>
                <c:pt idx="78">
                  <c:v>19943</c:v>
                </c:pt>
                <c:pt idx="79">
                  <c:v>19050</c:v>
                </c:pt>
                <c:pt idx="80">
                  <c:v>19701</c:v>
                </c:pt>
                <c:pt idx="81">
                  <c:v>18426</c:v>
                </c:pt>
                <c:pt idx="82">
                  <c:v>18559</c:v>
                </c:pt>
                <c:pt idx="83">
                  <c:v>19168</c:v>
                </c:pt>
                <c:pt idx="84">
                  <c:v>17847</c:v>
                </c:pt>
                <c:pt idx="85">
                  <c:v>19468</c:v>
                </c:pt>
                <c:pt idx="86">
                  <c:v>18700</c:v>
                </c:pt>
                <c:pt idx="87">
                  <c:v>20632</c:v>
                </c:pt>
                <c:pt idx="88">
                  <c:v>19826</c:v>
                </c:pt>
                <c:pt idx="89">
                  <c:v>18221</c:v>
                </c:pt>
                <c:pt idx="90">
                  <c:v>19625</c:v>
                </c:pt>
                <c:pt idx="91">
                  <c:v>19168</c:v>
                </c:pt>
                <c:pt idx="92">
                  <c:v>19806</c:v>
                </c:pt>
                <c:pt idx="93">
                  <c:v>18547</c:v>
                </c:pt>
                <c:pt idx="94">
                  <c:v>19470</c:v>
                </c:pt>
                <c:pt idx="95">
                  <c:v>19562</c:v>
                </c:pt>
                <c:pt idx="96">
                  <c:v>19217</c:v>
                </c:pt>
                <c:pt idx="97">
                  <c:v>20478</c:v>
                </c:pt>
                <c:pt idx="98">
                  <c:v>19554</c:v>
                </c:pt>
                <c:pt idx="99">
                  <c:v>22074</c:v>
                </c:pt>
                <c:pt idx="100">
                  <c:v>20634</c:v>
                </c:pt>
                <c:pt idx="101">
                  <c:v>19140</c:v>
                </c:pt>
                <c:pt idx="102">
                  <c:v>20488</c:v>
                </c:pt>
                <c:pt idx="103">
                  <c:v>20621</c:v>
                </c:pt>
                <c:pt idx="104">
                  <c:v>21069</c:v>
                </c:pt>
                <c:pt idx="105">
                  <c:v>20421</c:v>
                </c:pt>
                <c:pt idx="106">
                  <c:v>20910</c:v>
                </c:pt>
                <c:pt idx="107">
                  <c:v>20631</c:v>
                </c:pt>
                <c:pt idx="108">
                  <c:v>20699</c:v>
                </c:pt>
                <c:pt idx="109">
                  <c:v>21676</c:v>
                </c:pt>
                <c:pt idx="110">
                  <c:v>20211</c:v>
                </c:pt>
                <c:pt idx="111">
                  <c:v>24046</c:v>
                </c:pt>
                <c:pt idx="112">
                  <c:v>21713</c:v>
                </c:pt>
                <c:pt idx="113">
                  <c:v>20085</c:v>
                </c:pt>
                <c:pt idx="114">
                  <c:v>22366</c:v>
                </c:pt>
                <c:pt idx="115">
                  <c:v>21551</c:v>
                </c:pt>
                <c:pt idx="116">
                  <c:v>21461</c:v>
                </c:pt>
                <c:pt idx="117">
                  <c:v>21489</c:v>
                </c:pt>
                <c:pt idx="118">
                  <c:v>21774</c:v>
                </c:pt>
                <c:pt idx="119">
                  <c:v>21533</c:v>
                </c:pt>
                <c:pt idx="120">
                  <c:v>22018</c:v>
                </c:pt>
                <c:pt idx="121">
                  <c:v>22625</c:v>
                </c:pt>
                <c:pt idx="122">
                  <c:v>21642</c:v>
                </c:pt>
                <c:pt idx="123">
                  <c:v>25212</c:v>
                </c:pt>
                <c:pt idx="124">
                  <c:v>22157</c:v>
                </c:pt>
                <c:pt idx="125">
                  <c:v>22390</c:v>
                </c:pt>
                <c:pt idx="126">
                  <c:v>23550</c:v>
                </c:pt>
                <c:pt idx="127">
                  <c:v>22650</c:v>
                </c:pt>
                <c:pt idx="128">
                  <c:v>23091</c:v>
                </c:pt>
                <c:pt idx="129">
                  <c:v>22696</c:v>
                </c:pt>
                <c:pt idx="130">
                  <c:v>22157</c:v>
                </c:pt>
                <c:pt idx="131">
                  <c:v>22989</c:v>
                </c:pt>
                <c:pt idx="132">
                  <c:v>22211</c:v>
                </c:pt>
                <c:pt idx="133">
                  <c:v>22096</c:v>
                </c:pt>
                <c:pt idx="134">
                  <c:v>21854</c:v>
                </c:pt>
                <c:pt idx="135">
                  <c:v>24489</c:v>
                </c:pt>
                <c:pt idx="136">
                  <c:v>22379</c:v>
                </c:pt>
                <c:pt idx="137">
                  <c:v>21234</c:v>
                </c:pt>
                <c:pt idx="138">
                  <c:v>23348</c:v>
                </c:pt>
                <c:pt idx="139">
                  <c:v>22294</c:v>
                </c:pt>
                <c:pt idx="140">
                  <c:v>23737</c:v>
                </c:pt>
                <c:pt idx="141">
                  <c:v>23055</c:v>
                </c:pt>
                <c:pt idx="142">
                  <c:v>22295</c:v>
                </c:pt>
                <c:pt idx="143">
                  <c:v>23540</c:v>
                </c:pt>
                <c:pt idx="144">
                  <c:v>22628</c:v>
                </c:pt>
                <c:pt idx="145">
                  <c:v>24105</c:v>
                </c:pt>
                <c:pt idx="146">
                  <c:v>23359</c:v>
                </c:pt>
                <c:pt idx="147">
                  <c:v>25422</c:v>
                </c:pt>
                <c:pt idx="148">
                  <c:v>24280</c:v>
                </c:pt>
                <c:pt idx="149">
                  <c:v>22007</c:v>
                </c:pt>
                <c:pt idx="150">
                  <c:v>24075</c:v>
                </c:pt>
                <c:pt idx="151">
                  <c:v>23242</c:v>
                </c:pt>
                <c:pt idx="152">
                  <c:v>24848</c:v>
                </c:pt>
                <c:pt idx="153">
                  <c:v>23329</c:v>
                </c:pt>
                <c:pt idx="154">
                  <c:v>23581</c:v>
                </c:pt>
                <c:pt idx="155">
                  <c:v>24762</c:v>
                </c:pt>
                <c:pt idx="156">
                  <c:v>22930</c:v>
                </c:pt>
                <c:pt idx="157">
                  <c:v>25608</c:v>
                </c:pt>
                <c:pt idx="158">
                  <c:v>24553</c:v>
                </c:pt>
                <c:pt idx="159">
                  <c:v>25631</c:v>
                </c:pt>
                <c:pt idx="160">
                  <c:v>25037</c:v>
                </c:pt>
                <c:pt idx="161">
                  <c:v>23240</c:v>
                </c:pt>
                <c:pt idx="162">
                  <c:v>24577</c:v>
                </c:pt>
                <c:pt idx="163">
                  <c:v>24806</c:v>
                </c:pt>
                <c:pt idx="164">
                  <c:v>25717</c:v>
                </c:pt>
                <c:pt idx="165">
                  <c:v>23745</c:v>
                </c:pt>
                <c:pt idx="166">
                  <c:v>24531</c:v>
                </c:pt>
                <c:pt idx="167">
                  <c:v>24710</c:v>
                </c:pt>
                <c:pt idx="168">
                  <c:v>23630</c:v>
                </c:pt>
                <c:pt idx="169">
                  <c:v>26097</c:v>
                </c:pt>
                <c:pt idx="170">
                  <c:v>23964</c:v>
                </c:pt>
                <c:pt idx="171">
                  <c:v>26509</c:v>
                </c:pt>
                <c:pt idx="172">
                  <c:v>25209</c:v>
                </c:pt>
                <c:pt idx="173">
                  <c:v>23934</c:v>
                </c:pt>
                <c:pt idx="174">
                  <c:v>27839</c:v>
                </c:pt>
                <c:pt idx="175">
                  <c:v>24749</c:v>
                </c:pt>
                <c:pt idx="176">
                  <c:v>24923</c:v>
                </c:pt>
                <c:pt idx="177">
                  <c:v>25841</c:v>
                </c:pt>
                <c:pt idx="178">
                  <c:v>26334</c:v>
                </c:pt>
                <c:pt idx="179">
                  <c:v>25913</c:v>
                </c:pt>
              </c:numCache>
            </c:numRef>
          </c:val>
          <c:smooth val="0"/>
          <c:extLst>
            <c:ext xmlns:c16="http://schemas.microsoft.com/office/drawing/2014/chart" uri="{C3380CC4-5D6E-409C-BE32-E72D297353CC}">
              <c16:uniqueId val="{00000000-24AC-4FE2-B8EE-A1B89A42FFC6}"/>
            </c:ext>
          </c:extLst>
        </c:ser>
        <c:dLbls>
          <c:showLegendKey val="0"/>
          <c:showVal val="0"/>
          <c:showCatName val="0"/>
          <c:showSerName val="0"/>
          <c:showPercent val="0"/>
          <c:showBubbleSize val="0"/>
        </c:dLbls>
        <c:marker val="1"/>
        <c:smooth val="0"/>
        <c:axId val="763805472"/>
        <c:axId val="1313631952"/>
      </c:lineChart>
      <c:catAx>
        <c:axId val="76380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1952"/>
        <c:crosses val="autoZero"/>
        <c:auto val="1"/>
        <c:lblAlgn val="ctr"/>
        <c:lblOffset val="100"/>
        <c:noMultiLvlLbl val="0"/>
      </c:catAx>
      <c:valAx>
        <c:axId val="1313631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80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Forecast -</a:t>
            </a:r>
            <a:r>
              <a:rPr lang="en-US" b="1" baseline="0"/>
              <a:t> Using Deseasonalised Exponential Method</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Forecast'!$M$1</c:f>
              <c:strCache>
                <c:ptCount val="1"/>
                <c:pt idx="0">
                  <c:v> Forecast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'Final Forecast'!$H$2:$H$13</c:f>
              <c:numCache>
                <c:formatCode>mmm\-yy</c:formatCode>
                <c:ptCount val="12"/>
                <c:pt idx="0">
                  <c:v>44075</c:v>
                </c:pt>
                <c:pt idx="1">
                  <c:v>44105</c:v>
                </c:pt>
                <c:pt idx="2">
                  <c:v>44136</c:v>
                </c:pt>
                <c:pt idx="3">
                  <c:v>44166</c:v>
                </c:pt>
                <c:pt idx="4">
                  <c:v>44197</c:v>
                </c:pt>
                <c:pt idx="5">
                  <c:v>44228</c:v>
                </c:pt>
                <c:pt idx="6">
                  <c:v>44256</c:v>
                </c:pt>
                <c:pt idx="7">
                  <c:v>44287</c:v>
                </c:pt>
                <c:pt idx="8">
                  <c:v>44317</c:v>
                </c:pt>
                <c:pt idx="9">
                  <c:v>44348</c:v>
                </c:pt>
                <c:pt idx="10">
                  <c:v>44378</c:v>
                </c:pt>
                <c:pt idx="11">
                  <c:v>44409</c:v>
                </c:pt>
              </c:numCache>
            </c:numRef>
          </c:cat>
          <c:val>
            <c:numRef>
              <c:f>'Final Forecast'!$M$2:$M$13</c:f>
              <c:numCache>
                <c:formatCode>_("$"* #,##0_);_("$"* \(#,##0\);_("$"* "-"??_);_(@_)</c:formatCode>
                <c:ptCount val="12"/>
                <c:pt idx="0">
                  <c:v>24901.654248025345</c:v>
                </c:pt>
                <c:pt idx="1">
                  <c:v>26282.950607329738</c:v>
                </c:pt>
                <c:pt idx="2">
                  <c:v>25332.952657514677</c:v>
                </c:pt>
                <c:pt idx="3">
                  <c:v>28349.359375662651</c:v>
                </c:pt>
                <c:pt idx="4">
                  <c:v>26272.684726704116</c:v>
                </c:pt>
                <c:pt idx="5">
                  <c:v>24913.188502828805</c:v>
                </c:pt>
                <c:pt idx="6">
                  <c:v>27031.915179935553</c:v>
                </c:pt>
                <c:pt idx="7">
                  <c:v>26035.101046336633</c:v>
                </c:pt>
                <c:pt idx="8">
                  <c:v>26765.074345894733</c:v>
                </c:pt>
                <c:pt idx="9">
                  <c:v>25936.739801865133</c:v>
                </c:pt>
                <c:pt idx="10">
                  <c:v>26081.012798699034</c:v>
                </c:pt>
                <c:pt idx="11">
                  <c:v>26491.417428604644</c:v>
                </c:pt>
              </c:numCache>
            </c:numRef>
          </c:val>
          <c:smooth val="0"/>
          <c:extLst>
            <c:ext xmlns:c16="http://schemas.microsoft.com/office/drawing/2014/chart" uri="{C3380CC4-5D6E-409C-BE32-E72D297353CC}">
              <c16:uniqueId val="{00000000-7C45-4FDB-9163-B651375D314B}"/>
            </c:ext>
          </c:extLst>
        </c:ser>
        <c:dLbls>
          <c:showLegendKey val="0"/>
          <c:showVal val="0"/>
          <c:showCatName val="0"/>
          <c:showSerName val="0"/>
          <c:showPercent val="0"/>
          <c:showBubbleSize val="0"/>
        </c:dLbls>
        <c:marker val="1"/>
        <c:smooth val="0"/>
        <c:axId val="1590254944"/>
        <c:axId val="1590257024"/>
      </c:lineChart>
      <c:dateAx>
        <c:axId val="15902549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257024"/>
        <c:crosses val="autoZero"/>
        <c:auto val="1"/>
        <c:lblOffset val="100"/>
        <c:baseTimeUnit val="months"/>
      </c:dateAx>
      <c:valAx>
        <c:axId val="1590257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25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458610</xdr:colOff>
      <xdr:row>4</xdr:row>
      <xdr:rowOff>32456</xdr:rowOff>
    </xdr:from>
    <xdr:to>
      <xdr:col>32</xdr:col>
      <xdr:colOff>550334</xdr:colOff>
      <xdr:row>21</xdr:row>
      <xdr:rowOff>28222</xdr:rowOff>
    </xdr:to>
    <xdr:graphicFrame macro="">
      <xdr:nvGraphicFramePr>
        <xdr:cNvPr id="4" name="Chart 3">
          <a:extLst>
            <a:ext uri="{FF2B5EF4-FFF2-40B4-BE49-F238E27FC236}">
              <a16:creationId xmlns:a16="http://schemas.microsoft.com/office/drawing/2014/main" id="{8E0E2308-1732-455D-924B-7DC5E1F1A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117475</xdr:colOff>
      <xdr:row>15</xdr:row>
      <xdr:rowOff>0</xdr:rowOff>
    </xdr:from>
    <xdr:to>
      <xdr:col>17</xdr:col>
      <xdr:colOff>346075</xdr:colOff>
      <xdr:row>29</xdr:row>
      <xdr:rowOff>158750</xdr:rowOff>
    </xdr:to>
    <xdr:graphicFrame macro="">
      <xdr:nvGraphicFramePr>
        <xdr:cNvPr id="2" name="Chart 1">
          <a:extLst>
            <a:ext uri="{FF2B5EF4-FFF2-40B4-BE49-F238E27FC236}">
              <a16:creationId xmlns:a16="http://schemas.microsoft.com/office/drawing/2014/main" id="{FB4C7F16-83FB-4648-8BC7-40E4B2332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0B27-FF96-4F8B-9DD6-2D89FC1D41AE}">
  <dimension ref="A1:H181"/>
  <sheetViews>
    <sheetView topLeftCell="A166" zoomScale="90" zoomScaleNormal="90" workbookViewId="0">
      <selection activeCell="A182" sqref="A182"/>
    </sheetView>
  </sheetViews>
  <sheetFormatPr defaultRowHeight="14.5" x14ac:dyDescent="0.35"/>
  <cols>
    <col min="1" max="1" width="11.08984375" bestFit="1" customWidth="1"/>
    <col min="2" max="2" width="7.26953125" customWidth="1"/>
    <col min="3" max="3" width="22.54296875" style="18" bestFit="1" customWidth="1"/>
    <col min="4" max="4" width="6.81640625" customWidth="1"/>
    <col min="5" max="5" width="6.453125" bestFit="1" customWidth="1"/>
  </cols>
  <sheetData>
    <row r="1" spans="1:8" ht="15" thickBot="1" x14ac:dyDescent="0.4">
      <c r="A1" s="76" t="s">
        <v>174</v>
      </c>
      <c r="B1" s="76" t="s">
        <v>175</v>
      </c>
      <c r="C1" s="78" t="s">
        <v>4</v>
      </c>
      <c r="D1" s="77" t="s">
        <v>175</v>
      </c>
      <c r="E1" s="79" t="s">
        <v>184</v>
      </c>
    </row>
    <row r="2" spans="1:8" x14ac:dyDescent="0.35">
      <c r="A2" s="60" t="s">
        <v>0</v>
      </c>
      <c r="B2" s="61" t="str">
        <f t="shared" ref="B2:B33" si="0">MID(A2,6,4)</f>
        <v>2005</v>
      </c>
      <c r="C2" s="62">
        <v>14615</v>
      </c>
      <c r="D2" s="63">
        <v>2005</v>
      </c>
      <c r="E2" s="64">
        <v>1</v>
      </c>
    </row>
    <row r="3" spans="1:8" x14ac:dyDescent="0.35">
      <c r="A3" s="60" t="s">
        <v>1</v>
      </c>
      <c r="B3" s="61" t="str">
        <f t="shared" si="0"/>
        <v>2005</v>
      </c>
      <c r="C3" s="62">
        <v>14846</v>
      </c>
      <c r="D3" s="63">
        <v>2005</v>
      </c>
      <c r="E3" s="64">
        <v>2</v>
      </c>
    </row>
    <row r="4" spans="1:8" ht="18.5" x14ac:dyDescent="0.35">
      <c r="A4" s="60" t="s">
        <v>2</v>
      </c>
      <c r="B4" s="61" t="str">
        <f t="shared" si="0"/>
        <v>2005</v>
      </c>
      <c r="C4" s="62">
        <v>14885</v>
      </c>
      <c r="D4" s="63">
        <v>2005</v>
      </c>
      <c r="E4" s="64">
        <v>3</v>
      </c>
      <c r="H4" s="111"/>
    </row>
    <row r="5" spans="1:8" x14ac:dyDescent="0.35">
      <c r="A5" s="60" t="s">
        <v>3</v>
      </c>
      <c r="B5" s="61" t="str">
        <f t="shared" si="0"/>
        <v>2005</v>
      </c>
      <c r="C5" s="62">
        <v>17103</v>
      </c>
      <c r="D5" s="63">
        <v>2005</v>
      </c>
      <c r="E5" s="64">
        <v>4</v>
      </c>
    </row>
    <row r="6" spans="1:8" x14ac:dyDescent="0.35">
      <c r="A6" s="60" t="s">
        <v>5</v>
      </c>
      <c r="B6" s="61" t="str">
        <f t="shared" si="0"/>
        <v>2006</v>
      </c>
      <c r="C6" s="62">
        <v>15257</v>
      </c>
      <c r="D6" s="63">
        <v>2006</v>
      </c>
      <c r="E6" s="64">
        <v>5</v>
      </c>
    </row>
    <row r="7" spans="1:8" x14ac:dyDescent="0.35">
      <c r="A7" s="60" t="s">
        <v>6</v>
      </c>
      <c r="B7" s="61" t="str">
        <f t="shared" si="0"/>
        <v>2006</v>
      </c>
      <c r="C7" s="62">
        <v>14681</v>
      </c>
      <c r="D7" s="63">
        <v>2006</v>
      </c>
      <c r="E7" s="64">
        <v>6</v>
      </c>
    </row>
    <row r="8" spans="1:8" x14ac:dyDescent="0.35">
      <c r="A8" s="60" t="s">
        <v>7</v>
      </c>
      <c r="B8" s="61" t="str">
        <f t="shared" si="0"/>
        <v>2006</v>
      </c>
      <c r="C8" s="62">
        <v>16174</v>
      </c>
      <c r="D8" s="63">
        <v>2006</v>
      </c>
      <c r="E8" s="64">
        <v>7</v>
      </c>
    </row>
    <row r="9" spans="1:8" x14ac:dyDescent="0.35">
      <c r="A9" s="60" t="s">
        <v>8</v>
      </c>
      <c r="B9" s="61" t="str">
        <f t="shared" si="0"/>
        <v>2006</v>
      </c>
      <c r="C9" s="62">
        <v>15225</v>
      </c>
      <c r="D9" s="63">
        <v>2006</v>
      </c>
      <c r="E9" s="64">
        <v>8</v>
      </c>
    </row>
    <row r="10" spans="1:8" x14ac:dyDescent="0.35">
      <c r="A10" s="60" t="s">
        <v>177</v>
      </c>
      <c r="B10" s="61" t="str">
        <f t="shared" si="0"/>
        <v>2006</v>
      </c>
      <c r="C10" s="62">
        <v>16271</v>
      </c>
      <c r="D10" s="63">
        <v>2006</v>
      </c>
      <c r="E10" s="64">
        <v>9</v>
      </c>
    </row>
    <row r="11" spans="1:8" x14ac:dyDescent="0.35">
      <c r="A11" s="60" t="s">
        <v>9</v>
      </c>
      <c r="B11" s="61" t="str">
        <f t="shared" si="0"/>
        <v>2006</v>
      </c>
      <c r="C11" s="62">
        <v>15720</v>
      </c>
      <c r="D11" s="63">
        <v>2006</v>
      </c>
      <c r="E11" s="64">
        <v>10</v>
      </c>
    </row>
    <row r="12" spans="1:8" x14ac:dyDescent="0.35">
      <c r="A12" s="60" t="s">
        <v>10</v>
      </c>
      <c r="B12" s="61" t="str">
        <f t="shared" si="0"/>
        <v>2006</v>
      </c>
      <c r="C12" s="62">
        <v>15426</v>
      </c>
      <c r="D12" s="63">
        <v>2006</v>
      </c>
      <c r="E12" s="64">
        <v>11</v>
      </c>
    </row>
    <row r="13" spans="1:8" x14ac:dyDescent="0.35">
      <c r="A13" s="60" t="s">
        <v>11</v>
      </c>
      <c r="B13" s="61" t="str">
        <f t="shared" si="0"/>
        <v>2006</v>
      </c>
      <c r="C13" s="62">
        <v>16092</v>
      </c>
      <c r="D13" s="63">
        <v>2006</v>
      </c>
      <c r="E13" s="64">
        <v>12</v>
      </c>
    </row>
    <row r="14" spans="1:8" x14ac:dyDescent="0.35">
      <c r="A14" s="60" t="s">
        <v>12</v>
      </c>
      <c r="B14" s="61" t="str">
        <f t="shared" si="0"/>
        <v>2006</v>
      </c>
      <c r="C14" s="62">
        <v>15483</v>
      </c>
      <c r="D14" s="63">
        <v>2006</v>
      </c>
      <c r="E14" s="64">
        <v>13</v>
      </c>
    </row>
    <row r="15" spans="1:8" x14ac:dyDescent="0.35">
      <c r="A15" s="60" t="s">
        <v>13</v>
      </c>
      <c r="B15" s="61" t="str">
        <f t="shared" si="0"/>
        <v>2006</v>
      </c>
      <c r="C15" s="62">
        <v>16382</v>
      </c>
      <c r="D15" s="63">
        <v>2006</v>
      </c>
      <c r="E15" s="64">
        <v>14</v>
      </c>
    </row>
    <row r="16" spans="1:8" x14ac:dyDescent="0.35">
      <c r="A16" s="60" t="s">
        <v>14</v>
      </c>
      <c r="B16" s="61" t="str">
        <f t="shared" si="0"/>
        <v>2006</v>
      </c>
      <c r="C16" s="62">
        <v>16252</v>
      </c>
      <c r="D16" s="63">
        <v>2006</v>
      </c>
      <c r="E16" s="64">
        <v>15</v>
      </c>
    </row>
    <row r="17" spans="1:5" x14ac:dyDescent="0.35">
      <c r="A17" s="60" t="s">
        <v>15</v>
      </c>
      <c r="B17" s="61" t="str">
        <f t="shared" si="0"/>
        <v>2006</v>
      </c>
      <c r="C17" s="62">
        <v>18055</v>
      </c>
      <c r="D17" s="63">
        <v>2006</v>
      </c>
      <c r="E17" s="64">
        <v>16</v>
      </c>
    </row>
    <row r="18" spans="1:5" x14ac:dyDescent="0.35">
      <c r="A18" s="60" t="s">
        <v>16</v>
      </c>
      <c r="B18" s="61" t="str">
        <f t="shared" si="0"/>
        <v>2007</v>
      </c>
      <c r="C18" s="62">
        <v>16985</v>
      </c>
      <c r="D18" s="63">
        <v>2007</v>
      </c>
      <c r="E18" s="64">
        <v>17</v>
      </c>
    </row>
    <row r="19" spans="1:5" x14ac:dyDescent="0.35">
      <c r="A19" s="60" t="s">
        <v>17</v>
      </c>
      <c r="B19" s="61" t="str">
        <f t="shared" si="0"/>
        <v>2007</v>
      </c>
      <c r="C19" s="62">
        <v>15822</v>
      </c>
      <c r="D19" s="63">
        <v>2007</v>
      </c>
      <c r="E19" s="64">
        <v>18</v>
      </c>
    </row>
    <row r="20" spans="1:5" x14ac:dyDescent="0.35">
      <c r="A20" s="60" t="s">
        <v>18</v>
      </c>
      <c r="B20" s="61" t="str">
        <f t="shared" si="0"/>
        <v>2007</v>
      </c>
      <c r="C20" s="62">
        <v>17258</v>
      </c>
      <c r="D20" s="63">
        <v>2007</v>
      </c>
      <c r="E20" s="64">
        <v>19</v>
      </c>
    </row>
    <row r="21" spans="1:5" x14ac:dyDescent="0.35">
      <c r="A21" s="60" t="s">
        <v>19</v>
      </c>
      <c r="B21" s="61" t="str">
        <f t="shared" si="0"/>
        <v>2007</v>
      </c>
      <c r="C21" s="62">
        <v>16532</v>
      </c>
      <c r="D21" s="63">
        <v>2007</v>
      </c>
      <c r="E21" s="64">
        <v>20</v>
      </c>
    </row>
    <row r="22" spans="1:5" x14ac:dyDescent="0.35">
      <c r="A22" s="60" t="s">
        <v>178</v>
      </c>
      <c r="B22" s="61" t="str">
        <f t="shared" si="0"/>
        <v>2007</v>
      </c>
      <c r="C22" s="62">
        <v>17279</v>
      </c>
      <c r="D22" s="63">
        <v>2007</v>
      </c>
      <c r="E22" s="64">
        <v>21</v>
      </c>
    </row>
    <row r="23" spans="1:5" x14ac:dyDescent="0.35">
      <c r="A23" s="60" t="s">
        <v>20</v>
      </c>
      <c r="B23" s="61" t="str">
        <f t="shared" si="0"/>
        <v>2007</v>
      </c>
      <c r="C23" s="62">
        <v>16497</v>
      </c>
      <c r="D23" s="63">
        <v>2007</v>
      </c>
      <c r="E23" s="64">
        <v>22</v>
      </c>
    </row>
    <row r="24" spans="1:5" x14ac:dyDescent="0.35">
      <c r="A24" s="60" t="s">
        <v>21</v>
      </c>
      <c r="B24" s="61" t="str">
        <f t="shared" si="0"/>
        <v>2007</v>
      </c>
      <c r="C24" s="62">
        <v>16542</v>
      </c>
      <c r="D24" s="63">
        <v>2007</v>
      </c>
      <c r="E24" s="64">
        <v>23</v>
      </c>
    </row>
    <row r="25" spans="1:5" x14ac:dyDescent="0.35">
      <c r="A25" s="60" t="s">
        <v>22</v>
      </c>
      <c r="B25" s="61" t="str">
        <f t="shared" si="0"/>
        <v>2007</v>
      </c>
      <c r="C25" s="62">
        <v>16992</v>
      </c>
      <c r="D25" s="63">
        <v>2007</v>
      </c>
      <c r="E25" s="64">
        <v>24</v>
      </c>
    </row>
    <row r="26" spans="1:5" x14ac:dyDescent="0.35">
      <c r="A26" s="60" t="s">
        <v>23</v>
      </c>
      <c r="B26" s="61" t="str">
        <f t="shared" si="0"/>
        <v>2007</v>
      </c>
      <c r="C26" s="62">
        <v>15966</v>
      </c>
      <c r="D26" s="63">
        <v>2007</v>
      </c>
      <c r="E26" s="64">
        <v>25</v>
      </c>
    </row>
    <row r="27" spans="1:5" x14ac:dyDescent="0.35">
      <c r="A27" s="60" t="s">
        <v>24</v>
      </c>
      <c r="B27" s="61" t="str">
        <f t="shared" si="0"/>
        <v>2007</v>
      </c>
      <c r="C27" s="62">
        <v>17264</v>
      </c>
      <c r="D27" s="63">
        <v>2007</v>
      </c>
      <c r="E27" s="64">
        <v>26</v>
      </c>
    </row>
    <row r="28" spans="1:5" x14ac:dyDescent="0.35">
      <c r="A28" s="60" t="s">
        <v>25</v>
      </c>
      <c r="B28" s="61" t="str">
        <f t="shared" si="0"/>
        <v>2007</v>
      </c>
      <c r="C28" s="62">
        <v>16713</v>
      </c>
      <c r="D28" s="63">
        <v>2007</v>
      </c>
      <c r="E28" s="64">
        <v>27</v>
      </c>
    </row>
    <row r="29" spans="1:5" x14ac:dyDescent="0.35">
      <c r="A29" s="60" t="s">
        <v>26</v>
      </c>
      <c r="B29" s="61" t="str">
        <f t="shared" si="0"/>
        <v>2007</v>
      </c>
      <c r="C29" s="62">
        <v>18434</v>
      </c>
      <c r="D29" s="63">
        <v>2007</v>
      </c>
      <c r="E29" s="64">
        <v>28</v>
      </c>
    </row>
    <row r="30" spans="1:5" x14ac:dyDescent="0.35">
      <c r="A30" s="60" t="s">
        <v>27</v>
      </c>
      <c r="B30" s="61" t="str">
        <f t="shared" si="0"/>
        <v>2008</v>
      </c>
      <c r="C30" s="62">
        <v>17449</v>
      </c>
      <c r="D30" s="63">
        <v>2008</v>
      </c>
      <c r="E30" s="64">
        <v>29</v>
      </c>
    </row>
    <row r="31" spans="1:5" x14ac:dyDescent="0.35">
      <c r="A31" s="60" t="s">
        <v>28</v>
      </c>
      <c r="B31" s="61" t="str">
        <f t="shared" si="0"/>
        <v>2008</v>
      </c>
      <c r="C31" s="62">
        <v>17201</v>
      </c>
      <c r="D31" s="63">
        <v>2008</v>
      </c>
      <c r="E31" s="64">
        <v>30</v>
      </c>
    </row>
    <row r="32" spans="1:5" x14ac:dyDescent="0.35">
      <c r="A32" s="60" t="s">
        <v>29</v>
      </c>
      <c r="B32" s="61" t="str">
        <f t="shared" si="0"/>
        <v>2008</v>
      </c>
      <c r="C32" s="62">
        <v>17719</v>
      </c>
      <c r="D32" s="63">
        <v>2008</v>
      </c>
      <c r="E32" s="64">
        <v>31</v>
      </c>
    </row>
    <row r="33" spans="1:5" x14ac:dyDescent="0.35">
      <c r="A33" s="60" t="s">
        <v>30</v>
      </c>
      <c r="B33" s="61" t="str">
        <f t="shared" si="0"/>
        <v>2008</v>
      </c>
      <c r="C33" s="62">
        <v>17143</v>
      </c>
      <c r="D33" s="63">
        <v>2008</v>
      </c>
      <c r="E33" s="64">
        <v>32</v>
      </c>
    </row>
    <row r="34" spans="1:5" x14ac:dyDescent="0.35">
      <c r="A34" s="60" t="s">
        <v>179</v>
      </c>
      <c r="B34" s="61" t="str">
        <f t="shared" ref="B34:B65" si="1">MID(A34,6,4)</f>
        <v>2008</v>
      </c>
      <c r="C34" s="62">
        <v>17871</v>
      </c>
      <c r="D34" s="63">
        <v>2008</v>
      </c>
      <c r="E34" s="64">
        <v>33</v>
      </c>
    </row>
    <row r="35" spans="1:5" x14ac:dyDescent="0.35">
      <c r="A35" s="60" t="s">
        <v>31</v>
      </c>
      <c r="B35" s="61" t="str">
        <f t="shared" si="1"/>
        <v>2008</v>
      </c>
      <c r="C35" s="62">
        <v>17038</v>
      </c>
      <c r="D35" s="63">
        <v>2008</v>
      </c>
      <c r="E35" s="64">
        <v>34</v>
      </c>
    </row>
    <row r="36" spans="1:5" x14ac:dyDescent="0.35">
      <c r="A36" s="60" t="s">
        <v>32</v>
      </c>
      <c r="B36" s="61" t="str">
        <f t="shared" si="1"/>
        <v>2008</v>
      </c>
      <c r="C36" s="62">
        <v>17413</v>
      </c>
      <c r="D36" s="63">
        <v>2008</v>
      </c>
      <c r="E36" s="64">
        <v>35</v>
      </c>
    </row>
    <row r="37" spans="1:5" x14ac:dyDescent="0.35">
      <c r="A37" s="60" t="s">
        <v>33</v>
      </c>
      <c r="B37" s="61" t="str">
        <f t="shared" si="1"/>
        <v>2008</v>
      </c>
      <c r="C37" s="62">
        <v>17200</v>
      </c>
      <c r="D37" s="63">
        <v>2008</v>
      </c>
      <c r="E37" s="64">
        <v>36</v>
      </c>
    </row>
    <row r="38" spans="1:5" x14ac:dyDescent="0.35">
      <c r="A38" s="60" t="s">
        <v>34</v>
      </c>
      <c r="B38" s="61" t="str">
        <f t="shared" si="1"/>
        <v>2008</v>
      </c>
      <c r="C38" s="62">
        <v>17176</v>
      </c>
      <c r="D38" s="63">
        <v>2008</v>
      </c>
      <c r="E38" s="64">
        <v>37</v>
      </c>
    </row>
    <row r="39" spans="1:5" x14ac:dyDescent="0.35">
      <c r="A39" s="60" t="s">
        <v>35</v>
      </c>
      <c r="B39" s="61" t="str">
        <f t="shared" si="1"/>
        <v>2008</v>
      </c>
      <c r="C39" s="62">
        <v>18019</v>
      </c>
      <c r="D39" s="63">
        <v>2008</v>
      </c>
      <c r="E39" s="64">
        <v>38</v>
      </c>
    </row>
    <row r="40" spans="1:5" x14ac:dyDescent="0.35">
      <c r="A40" s="60" t="s">
        <v>36</v>
      </c>
      <c r="B40" s="61" t="str">
        <f t="shared" si="1"/>
        <v>2008</v>
      </c>
      <c r="C40" s="62">
        <v>16975</v>
      </c>
      <c r="D40" s="63">
        <v>2008</v>
      </c>
      <c r="E40" s="64">
        <v>39</v>
      </c>
    </row>
    <row r="41" spans="1:5" x14ac:dyDescent="0.35">
      <c r="A41" s="60" t="s">
        <v>37</v>
      </c>
      <c r="B41" s="61" t="str">
        <f t="shared" si="1"/>
        <v>2008</v>
      </c>
      <c r="C41" s="62">
        <v>19653</v>
      </c>
      <c r="D41" s="63">
        <v>2008</v>
      </c>
      <c r="E41" s="64">
        <v>40</v>
      </c>
    </row>
    <row r="42" spans="1:5" x14ac:dyDescent="0.35">
      <c r="A42" s="60" t="s">
        <v>38</v>
      </c>
      <c r="B42" s="61" t="str">
        <f t="shared" si="1"/>
        <v>2009</v>
      </c>
      <c r="C42" s="62">
        <v>17741</v>
      </c>
      <c r="D42" s="63">
        <v>2009</v>
      </c>
      <c r="E42" s="64">
        <v>41</v>
      </c>
    </row>
    <row r="43" spans="1:5" x14ac:dyDescent="0.35">
      <c r="A43" s="60" t="s">
        <v>39</v>
      </c>
      <c r="B43" s="61" t="str">
        <f t="shared" si="1"/>
        <v>2009</v>
      </c>
      <c r="C43" s="62">
        <v>17028</v>
      </c>
      <c r="D43" s="63">
        <v>2009</v>
      </c>
      <c r="E43" s="64">
        <v>42</v>
      </c>
    </row>
    <row r="44" spans="1:5" x14ac:dyDescent="0.35">
      <c r="A44" s="60" t="s">
        <v>40</v>
      </c>
      <c r="B44" s="61" t="str">
        <f t="shared" si="1"/>
        <v>2009</v>
      </c>
      <c r="C44" s="62">
        <v>18501</v>
      </c>
      <c r="D44" s="63">
        <v>2009</v>
      </c>
      <c r="E44" s="64">
        <v>43</v>
      </c>
    </row>
    <row r="45" spans="1:5" x14ac:dyDescent="0.35">
      <c r="A45" s="60" t="s">
        <v>41</v>
      </c>
      <c r="B45" s="61" t="str">
        <f t="shared" si="1"/>
        <v>2009</v>
      </c>
      <c r="C45" s="62">
        <v>18226</v>
      </c>
      <c r="D45" s="63">
        <v>2009</v>
      </c>
      <c r="E45" s="64">
        <v>44</v>
      </c>
    </row>
    <row r="46" spans="1:5" x14ac:dyDescent="0.35">
      <c r="A46" s="60" t="s">
        <v>180</v>
      </c>
      <c r="B46" s="61" t="str">
        <f t="shared" si="1"/>
        <v>2009</v>
      </c>
      <c r="C46" s="62">
        <v>18146</v>
      </c>
      <c r="D46" s="63">
        <v>2009</v>
      </c>
      <c r="E46" s="64">
        <v>45</v>
      </c>
    </row>
    <row r="47" spans="1:5" x14ac:dyDescent="0.35">
      <c r="A47" s="60" t="s">
        <v>42</v>
      </c>
      <c r="B47" s="61" t="str">
        <f t="shared" si="1"/>
        <v>2009</v>
      </c>
      <c r="C47" s="62">
        <v>17944</v>
      </c>
      <c r="D47" s="63">
        <v>2009</v>
      </c>
      <c r="E47" s="64">
        <v>46</v>
      </c>
    </row>
    <row r="48" spans="1:5" x14ac:dyDescent="0.35">
      <c r="A48" s="60" t="s">
        <v>43</v>
      </c>
      <c r="B48" s="61" t="str">
        <f t="shared" si="1"/>
        <v>2009</v>
      </c>
      <c r="C48" s="62">
        <v>17957</v>
      </c>
      <c r="D48" s="63">
        <v>2009</v>
      </c>
      <c r="E48" s="64">
        <v>47</v>
      </c>
    </row>
    <row r="49" spans="1:5" x14ac:dyDescent="0.35">
      <c r="A49" s="60" t="s">
        <v>44</v>
      </c>
      <c r="B49" s="61" t="str">
        <f t="shared" si="1"/>
        <v>2009</v>
      </c>
      <c r="C49" s="62">
        <v>17604</v>
      </c>
      <c r="D49" s="63">
        <v>2009</v>
      </c>
      <c r="E49" s="64">
        <v>48</v>
      </c>
    </row>
    <row r="50" spans="1:5" x14ac:dyDescent="0.35">
      <c r="A50" s="60" t="s">
        <v>45</v>
      </c>
      <c r="B50" s="61" t="str">
        <f t="shared" si="1"/>
        <v>2009</v>
      </c>
      <c r="C50" s="62">
        <v>17770</v>
      </c>
      <c r="D50" s="63">
        <v>2009</v>
      </c>
      <c r="E50" s="64">
        <v>49</v>
      </c>
    </row>
    <row r="51" spans="1:5" x14ac:dyDescent="0.35">
      <c r="A51" s="60" t="s">
        <v>46</v>
      </c>
      <c r="B51" s="61" t="str">
        <f t="shared" si="1"/>
        <v>2009</v>
      </c>
      <c r="C51" s="62">
        <v>18492</v>
      </c>
      <c r="D51" s="63">
        <v>2009</v>
      </c>
      <c r="E51" s="64">
        <v>50</v>
      </c>
    </row>
    <row r="52" spans="1:5" x14ac:dyDescent="0.35">
      <c r="A52" s="60" t="s">
        <v>47</v>
      </c>
      <c r="B52" s="61" t="str">
        <f t="shared" si="1"/>
        <v>2009</v>
      </c>
      <c r="C52" s="62">
        <v>17784</v>
      </c>
      <c r="D52" s="63">
        <v>2009</v>
      </c>
      <c r="E52" s="64">
        <v>51</v>
      </c>
    </row>
    <row r="53" spans="1:5" x14ac:dyDescent="0.35">
      <c r="A53" s="60" t="s">
        <v>48</v>
      </c>
      <c r="B53" s="61" t="str">
        <f t="shared" si="1"/>
        <v>2009</v>
      </c>
      <c r="C53" s="62">
        <v>20067</v>
      </c>
      <c r="D53" s="63">
        <v>2009</v>
      </c>
      <c r="E53" s="64">
        <v>52</v>
      </c>
    </row>
    <row r="54" spans="1:5" x14ac:dyDescent="0.35">
      <c r="A54" s="65" t="s">
        <v>49</v>
      </c>
      <c r="B54" s="61" t="str">
        <f t="shared" si="1"/>
        <v>2010</v>
      </c>
      <c r="C54" s="66">
        <v>17874</v>
      </c>
      <c r="D54" s="63">
        <v>2010</v>
      </c>
      <c r="E54" s="64">
        <v>53</v>
      </c>
    </row>
    <row r="55" spans="1:5" x14ac:dyDescent="0.35">
      <c r="A55" s="65" t="s">
        <v>50</v>
      </c>
      <c r="B55" s="61" t="str">
        <f t="shared" si="1"/>
        <v>2010</v>
      </c>
      <c r="C55" s="66">
        <v>17171</v>
      </c>
      <c r="D55" s="63">
        <v>2010</v>
      </c>
      <c r="E55" s="64">
        <v>54</v>
      </c>
    </row>
    <row r="56" spans="1:5" x14ac:dyDescent="0.35">
      <c r="A56" s="65" t="s">
        <v>51</v>
      </c>
      <c r="B56" s="61" t="str">
        <f t="shared" si="1"/>
        <v>2010</v>
      </c>
      <c r="C56" s="66">
        <v>19214</v>
      </c>
      <c r="D56" s="63">
        <v>2010</v>
      </c>
      <c r="E56" s="64">
        <v>55</v>
      </c>
    </row>
    <row r="57" spans="1:5" x14ac:dyDescent="0.35">
      <c r="A57" s="65" t="s">
        <v>52</v>
      </c>
      <c r="B57" s="61" t="str">
        <f t="shared" si="1"/>
        <v>2010</v>
      </c>
      <c r="C57" s="66">
        <v>18340</v>
      </c>
      <c r="D57" s="63">
        <v>2010</v>
      </c>
      <c r="E57" s="64">
        <v>56</v>
      </c>
    </row>
    <row r="58" spans="1:5" x14ac:dyDescent="0.35">
      <c r="A58" s="67" t="s">
        <v>181</v>
      </c>
      <c r="B58" s="61" t="str">
        <f t="shared" si="1"/>
        <v>2010</v>
      </c>
      <c r="C58" s="66">
        <v>18295</v>
      </c>
      <c r="D58" s="63">
        <v>2010</v>
      </c>
      <c r="E58" s="64">
        <v>57</v>
      </c>
    </row>
    <row r="59" spans="1:5" x14ac:dyDescent="0.35">
      <c r="A59" s="65" t="s">
        <v>53</v>
      </c>
      <c r="B59" s="61" t="str">
        <f t="shared" si="1"/>
        <v>2010</v>
      </c>
      <c r="C59" s="66">
        <v>18372</v>
      </c>
      <c r="D59" s="63">
        <v>2010</v>
      </c>
      <c r="E59" s="64">
        <v>58</v>
      </c>
    </row>
    <row r="60" spans="1:5" x14ac:dyDescent="0.35">
      <c r="A60" s="65" t="s">
        <v>54</v>
      </c>
      <c r="B60" s="61" t="str">
        <f t="shared" si="1"/>
        <v>2010</v>
      </c>
      <c r="C60" s="66">
        <v>18170</v>
      </c>
      <c r="D60" s="63">
        <v>2010</v>
      </c>
      <c r="E60" s="64">
        <v>59</v>
      </c>
    </row>
    <row r="61" spans="1:5" x14ac:dyDescent="0.35">
      <c r="A61" s="65" t="s">
        <v>55</v>
      </c>
      <c r="B61" s="61" t="str">
        <f t="shared" si="1"/>
        <v>2010</v>
      </c>
      <c r="C61" s="66">
        <v>18328</v>
      </c>
      <c r="D61" s="63">
        <v>2010</v>
      </c>
      <c r="E61" s="64">
        <v>60</v>
      </c>
    </row>
    <row r="62" spans="1:5" x14ac:dyDescent="0.35">
      <c r="A62" s="65" t="s">
        <v>56</v>
      </c>
      <c r="B62" s="61" t="str">
        <f t="shared" si="1"/>
        <v>2010</v>
      </c>
      <c r="C62" s="66">
        <v>18124</v>
      </c>
      <c r="D62" s="63">
        <v>2010</v>
      </c>
      <c r="E62" s="64">
        <v>61</v>
      </c>
    </row>
    <row r="63" spans="1:5" x14ac:dyDescent="0.35">
      <c r="A63" s="65" t="s">
        <v>57</v>
      </c>
      <c r="B63" s="61" t="str">
        <f t="shared" si="1"/>
        <v>2010</v>
      </c>
      <c r="C63" s="66">
        <v>18611</v>
      </c>
      <c r="D63" s="63">
        <v>2010</v>
      </c>
      <c r="E63" s="64">
        <v>62</v>
      </c>
    </row>
    <row r="64" spans="1:5" x14ac:dyDescent="0.35">
      <c r="A64" s="65" t="s">
        <v>58</v>
      </c>
      <c r="B64" s="61" t="str">
        <f t="shared" si="1"/>
        <v>2010</v>
      </c>
      <c r="C64" s="66">
        <v>18724</v>
      </c>
      <c r="D64" s="63">
        <v>2010</v>
      </c>
      <c r="E64" s="64">
        <v>63</v>
      </c>
    </row>
    <row r="65" spans="1:5" x14ac:dyDescent="0.35">
      <c r="A65" s="65" t="s">
        <v>59</v>
      </c>
      <c r="B65" s="61" t="str">
        <f t="shared" si="1"/>
        <v>2010</v>
      </c>
      <c r="C65" s="66">
        <v>21007</v>
      </c>
      <c r="D65" s="63">
        <v>2010</v>
      </c>
      <c r="E65" s="64">
        <v>64</v>
      </c>
    </row>
    <row r="66" spans="1:5" x14ac:dyDescent="0.35">
      <c r="A66" s="65" t="s">
        <v>60</v>
      </c>
      <c r="B66" s="61" t="str">
        <f t="shared" ref="B66:B97" si="2">MID(A66,6,4)</f>
        <v>2011</v>
      </c>
      <c r="C66" s="66">
        <v>19155</v>
      </c>
      <c r="D66" s="63">
        <v>2011</v>
      </c>
      <c r="E66" s="64">
        <v>65</v>
      </c>
    </row>
    <row r="67" spans="1:5" x14ac:dyDescent="0.35">
      <c r="A67" s="65" t="s">
        <v>61</v>
      </c>
      <c r="B67" s="61" t="str">
        <f t="shared" si="2"/>
        <v>2011</v>
      </c>
      <c r="C67" s="66">
        <v>18117</v>
      </c>
      <c r="D67" s="63">
        <v>2011</v>
      </c>
      <c r="E67" s="64">
        <v>66</v>
      </c>
    </row>
    <row r="68" spans="1:5" x14ac:dyDescent="0.35">
      <c r="A68" s="65" t="s">
        <v>62</v>
      </c>
      <c r="B68" s="61" t="str">
        <f t="shared" si="2"/>
        <v>2011</v>
      </c>
      <c r="C68" s="66">
        <v>20042</v>
      </c>
      <c r="D68" s="63">
        <v>2011</v>
      </c>
      <c r="E68" s="64">
        <v>67</v>
      </c>
    </row>
    <row r="69" spans="1:5" x14ac:dyDescent="0.35">
      <c r="A69" s="65" t="s">
        <v>63</v>
      </c>
      <c r="B69" s="61" t="str">
        <f t="shared" si="2"/>
        <v>2011</v>
      </c>
      <c r="C69" s="66">
        <v>18944</v>
      </c>
      <c r="D69" s="63">
        <v>2011</v>
      </c>
      <c r="E69" s="64">
        <v>68</v>
      </c>
    </row>
    <row r="70" spans="1:5" x14ac:dyDescent="0.35">
      <c r="A70" s="67" t="s">
        <v>182</v>
      </c>
      <c r="B70" s="61" t="str">
        <f t="shared" si="2"/>
        <v>2011</v>
      </c>
      <c r="C70" s="66">
        <v>19505</v>
      </c>
      <c r="D70" s="63">
        <v>2011</v>
      </c>
      <c r="E70" s="64">
        <v>69</v>
      </c>
    </row>
    <row r="71" spans="1:5" x14ac:dyDescent="0.35">
      <c r="A71" s="65" t="s">
        <v>64</v>
      </c>
      <c r="B71" s="61" t="str">
        <f t="shared" si="2"/>
        <v>2011</v>
      </c>
      <c r="C71" s="66">
        <v>19081</v>
      </c>
      <c r="D71" s="63">
        <v>2011</v>
      </c>
      <c r="E71" s="64">
        <v>70</v>
      </c>
    </row>
    <row r="72" spans="1:5" x14ac:dyDescent="0.35">
      <c r="A72" s="65" t="s">
        <v>65</v>
      </c>
      <c r="B72" s="61" t="str">
        <f t="shared" si="2"/>
        <v>2011</v>
      </c>
      <c r="C72" s="66">
        <v>18541</v>
      </c>
      <c r="D72" s="63">
        <v>2011</v>
      </c>
      <c r="E72" s="64">
        <v>71</v>
      </c>
    </row>
    <row r="73" spans="1:5" x14ac:dyDescent="0.35">
      <c r="A73" s="65" t="s">
        <v>66</v>
      </c>
      <c r="B73" s="61" t="str">
        <f t="shared" si="2"/>
        <v>2011</v>
      </c>
      <c r="C73" s="66">
        <v>19481</v>
      </c>
      <c r="D73" s="63">
        <v>2011</v>
      </c>
      <c r="E73" s="64">
        <v>72</v>
      </c>
    </row>
    <row r="74" spans="1:5" x14ac:dyDescent="0.35">
      <c r="A74" s="65" t="s">
        <v>67</v>
      </c>
      <c r="B74" s="61" t="str">
        <f t="shared" si="2"/>
        <v>2011</v>
      </c>
      <c r="C74" s="66">
        <v>18845</v>
      </c>
      <c r="D74" s="63">
        <v>2011</v>
      </c>
      <c r="E74" s="64">
        <v>73</v>
      </c>
    </row>
    <row r="75" spans="1:5" x14ac:dyDescent="0.35">
      <c r="A75" s="65" t="s">
        <v>68</v>
      </c>
      <c r="B75" s="61" t="str">
        <f t="shared" si="2"/>
        <v>2011</v>
      </c>
      <c r="C75" s="66">
        <v>19302</v>
      </c>
      <c r="D75" s="63">
        <v>2011</v>
      </c>
      <c r="E75" s="64">
        <v>74</v>
      </c>
    </row>
    <row r="76" spans="1:5" x14ac:dyDescent="0.35">
      <c r="A76" s="65" t="s">
        <v>69</v>
      </c>
      <c r="B76" s="61" t="str">
        <f t="shared" si="2"/>
        <v>2011</v>
      </c>
      <c r="C76" s="66">
        <v>19103</v>
      </c>
      <c r="D76" s="63">
        <v>2011</v>
      </c>
      <c r="E76" s="64">
        <v>75</v>
      </c>
    </row>
    <row r="77" spans="1:5" x14ac:dyDescent="0.35">
      <c r="A77" s="65" t="s">
        <v>70</v>
      </c>
      <c r="B77" s="61" t="str">
        <f t="shared" si="2"/>
        <v>2011</v>
      </c>
      <c r="C77" s="66">
        <v>21133</v>
      </c>
      <c r="D77" s="63">
        <v>2011</v>
      </c>
      <c r="E77" s="64">
        <v>76</v>
      </c>
    </row>
    <row r="78" spans="1:5" x14ac:dyDescent="0.35">
      <c r="A78" s="65" t="s">
        <v>71</v>
      </c>
      <c r="B78" s="61" t="str">
        <f t="shared" si="2"/>
        <v>2012</v>
      </c>
      <c r="C78" s="66">
        <v>19401</v>
      </c>
      <c r="D78" s="63">
        <v>2012</v>
      </c>
      <c r="E78" s="64">
        <v>77</v>
      </c>
    </row>
    <row r="79" spans="1:5" x14ac:dyDescent="0.35">
      <c r="A79" s="65" t="s">
        <v>72</v>
      </c>
      <c r="B79" s="61" t="str">
        <f t="shared" si="2"/>
        <v>2012</v>
      </c>
      <c r="C79" s="66">
        <v>19056</v>
      </c>
      <c r="D79" s="63">
        <v>2012</v>
      </c>
      <c r="E79" s="64">
        <v>78</v>
      </c>
    </row>
    <row r="80" spans="1:5" x14ac:dyDescent="0.35">
      <c r="A80" s="65" t="s">
        <v>73</v>
      </c>
      <c r="B80" s="61" t="str">
        <f t="shared" si="2"/>
        <v>2012</v>
      </c>
      <c r="C80" s="66">
        <v>19943</v>
      </c>
      <c r="D80" s="63">
        <v>2012</v>
      </c>
      <c r="E80" s="64">
        <v>79</v>
      </c>
    </row>
    <row r="81" spans="1:5" x14ac:dyDescent="0.35">
      <c r="A81" s="65" t="s">
        <v>74</v>
      </c>
      <c r="B81" s="61" t="str">
        <f t="shared" si="2"/>
        <v>2012</v>
      </c>
      <c r="C81" s="66">
        <v>19050</v>
      </c>
      <c r="D81" s="63">
        <v>2012</v>
      </c>
      <c r="E81" s="64">
        <v>80</v>
      </c>
    </row>
    <row r="82" spans="1:5" x14ac:dyDescent="0.35">
      <c r="A82" s="67" t="s">
        <v>183</v>
      </c>
      <c r="B82" s="61" t="str">
        <f t="shared" si="2"/>
        <v>2012</v>
      </c>
      <c r="C82" s="66">
        <v>19701</v>
      </c>
      <c r="D82" s="63">
        <v>2012</v>
      </c>
      <c r="E82" s="64">
        <v>81</v>
      </c>
    </row>
    <row r="83" spans="1:5" x14ac:dyDescent="0.35">
      <c r="A83" s="65" t="s">
        <v>75</v>
      </c>
      <c r="B83" s="61" t="str">
        <f t="shared" si="2"/>
        <v>2012</v>
      </c>
      <c r="C83" s="66">
        <v>18426</v>
      </c>
      <c r="D83" s="63">
        <v>2012</v>
      </c>
      <c r="E83" s="64">
        <v>82</v>
      </c>
    </row>
    <row r="84" spans="1:5" x14ac:dyDescent="0.35">
      <c r="A84" s="65" t="s">
        <v>76</v>
      </c>
      <c r="B84" s="61" t="str">
        <f t="shared" si="2"/>
        <v>2012</v>
      </c>
      <c r="C84" s="66">
        <v>18559</v>
      </c>
      <c r="D84" s="63">
        <v>2012</v>
      </c>
      <c r="E84" s="64">
        <v>83</v>
      </c>
    </row>
    <row r="85" spans="1:5" x14ac:dyDescent="0.35">
      <c r="A85" s="65" t="s">
        <v>77</v>
      </c>
      <c r="B85" s="61" t="str">
        <f t="shared" si="2"/>
        <v>2012</v>
      </c>
      <c r="C85" s="66">
        <v>19168</v>
      </c>
      <c r="D85" s="63">
        <v>2012</v>
      </c>
      <c r="E85" s="64">
        <v>84</v>
      </c>
    </row>
    <row r="86" spans="1:5" x14ac:dyDescent="0.35">
      <c r="A86" s="65" t="s">
        <v>78</v>
      </c>
      <c r="B86" s="61" t="str">
        <f t="shared" si="2"/>
        <v>2012</v>
      </c>
      <c r="C86" s="66">
        <v>17847</v>
      </c>
      <c r="D86" s="63">
        <v>2012</v>
      </c>
      <c r="E86" s="64">
        <v>85</v>
      </c>
    </row>
    <row r="87" spans="1:5" x14ac:dyDescent="0.35">
      <c r="A87" s="65" t="s">
        <v>79</v>
      </c>
      <c r="B87" s="61" t="str">
        <f t="shared" si="2"/>
        <v>2012</v>
      </c>
      <c r="C87" s="66">
        <v>19468</v>
      </c>
      <c r="D87" s="63">
        <v>2012</v>
      </c>
      <c r="E87" s="64">
        <v>86</v>
      </c>
    </row>
    <row r="88" spans="1:5" x14ac:dyDescent="0.35">
      <c r="A88" s="65" t="s">
        <v>80</v>
      </c>
      <c r="B88" s="61" t="str">
        <f t="shared" si="2"/>
        <v>2012</v>
      </c>
      <c r="C88" s="66">
        <v>18700</v>
      </c>
      <c r="D88" s="63">
        <v>2012</v>
      </c>
      <c r="E88" s="64">
        <v>87</v>
      </c>
    </row>
    <row r="89" spans="1:5" x14ac:dyDescent="0.35">
      <c r="A89" s="65" t="s">
        <v>81</v>
      </c>
      <c r="B89" s="61" t="str">
        <f t="shared" si="2"/>
        <v>2012</v>
      </c>
      <c r="C89" s="66">
        <v>20632</v>
      </c>
      <c r="D89" s="63">
        <v>2012</v>
      </c>
      <c r="E89" s="64">
        <v>88</v>
      </c>
    </row>
    <row r="90" spans="1:5" x14ac:dyDescent="0.35">
      <c r="A90" s="68" t="s">
        <v>82</v>
      </c>
      <c r="B90" s="61" t="str">
        <f t="shared" si="2"/>
        <v>2013</v>
      </c>
      <c r="C90" s="69">
        <v>19826</v>
      </c>
      <c r="D90" s="63">
        <v>2013</v>
      </c>
      <c r="E90" s="64">
        <v>89</v>
      </c>
    </row>
    <row r="91" spans="1:5" x14ac:dyDescent="0.35">
      <c r="A91" s="68" t="s">
        <v>83</v>
      </c>
      <c r="B91" s="61" t="str">
        <f t="shared" si="2"/>
        <v>2013</v>
      </c>
      <c r="C91" s="69">
        <v>18221</v>
      </c>
      <c r="D91" s="63">
        <v>2013</v>
      </c>
      <c r="E91" s="64">
        <v>90</v>
      </c>
    </row>
    <row r="92" spans="1:5" x14ac:dyDescent="0.35">
      <c r="A92" s="68" t="s">
        <v>84</v>
      </c>
      <c r="B92" s="61" t="str">
        <f t="shared" si="2"/>
        <v>2013</v>
      </c>
      <c r="C92" s="69">
        <v>19625</v>
      </c>
      <c r="D92" s="63">
        <v>2013</v>
      </c>
      <c r="E92" s="64">
        <v>91</v>
      </c>
    </row>
    <row r="93" spans="1:5" x14ac:dyDescent="0.35">
      <c r="A93" s="68" t="s">
        <v>85</v>
      </c>
      <c r="B93" s="61" t="str">
        <f t="shared" si="2"/>
        <v>2013</v>
      </c>
      <c r="C93" s="69">
        <v>19168</v>
      </c>
      <c r="D93" s="63">
        <v>2013</v>
      </c>
      <c r="E93" s="64">
        <v>92</v>
      </c>
    </row>
    <row r="94" spans="1:5" x14ac:dyDescent="0.35">
      <c r="A94" s="70" t="s">
        <v>86</v>
      </c>
      <c r="B94" s="61" t="str">
        <f t="shared" si="2"/>
        <v>2013</v>
      </c>
      <c r="C94" s="69">
        <v>19806</v>
      </c>
      <c r="D94" s="63">
        <v>2013</v>
      </c>
      <c r="E94" s="64">
        <v>93</v>
      </c>
    </row>
    <row r="95" spans="1:5" x14ac:dyDescent="0.35">
      <c r="A95" s="68" t="s">
        <v>87</v>
      </c>
      <c r="B95" s="61" t="str">
        <f t="shared" si="2"/>
        <v>2013</v>
      </c>
      <c r="C95" s="69">
        <v>18547</v>
      </c>
      <c r="D95" s="63">
        <v>2013</v>
      </c>
      <c r="E95" s="64">
        <v>94</v>
      </c>
    </row>
    <row r="96" spans="1:5" x14ac:dyDescent="0.35">
      <c r="A96" s="68" t="s">
        <v>88</v>
      </c>
      <c r="B96" s="61" t="str">
        <f t="shared" si="2"/>
        <v>2013</v>
      </c>
      <c r="C96" s="69">
        <v>19470</v>
      </c>
      <c r="D96" s="63">
        <v>2013</v>
      </c>
      <c r="E96" s="64">
        <v>95</v>
      </c>
    </row>
    <row r="97" spans="1:5" x14ac:dyDescent="0.35">
      <c r="A97" s="68" t="s">
        <v>89</v>
      </c>
      <c r="B97" s="61" t="str">
        <f t="shared" si="2"/>
        <v>2013</v>
      </c>
      <c r="C97" s="69">
        <v>19562</v>
      </c>
      <c r="D97" s="63">
        <v>2013</v>
      </c>
      <c r="E97" s="64">
        <v>96</v>
      </c>
    </row>
    <row r="98" spans="1:5" x14ac:dyDescent="0.35">
      <c r="A98" s="68" t="s">
        <v>90</v>
      </c>
      <c r="B98" s="61" t="str">
        <f t="shared" ref="B98:B129" si="3">MID(A98,6,4)</f>
        <v>2013</v>
      </c>
      <c r="C98" s="69">
        <v>19217</v>
      </c>
      <c r="D98" s="63">
        <v>2013</v>
      </c>
      <c r="E98" s="64">
        <v>97</v>
      </c>
    </row>
    <row r="99" spans="1:5" x14ac:dyDescent="0.35">
      <c r="A99" s="68" t="s">
        <v>91</v>
      </c>
      <c r="B99" s="61" t="str">
        <f t="shared" si="3"/>
        <v>2013</v>
      </c>
      <c r="C99" s="69">
        <v>20478</v>
      </c>
      <c r="D99" s="63">
        <v>2013</v>
      </c>
      <c r="E99" s="64">
        <v>98</v>
      </c>
    </row>
    <row r="100" spans="1:5" x14ac:dyDescent="0.35">
      <c r="A100" s="68" t="s">
        <v>92</v>
      </c>
      <c r="B100" s="61" t="str">
        <f t="shared" si="3"/>
        <v>2013</v>
      </c>
      <c r="C100" s="69">
        <v>19554</v>
      </c>
      <c r="D100" s="63">
        <v>2013</v>
      </c>
      <c r="E100" s="64">
        <v>99</v>
      </c>
    </row>
    <row r="101" spans="1:5" x14ac:dyDescent="0.35">
      <c r="A101" s="68" t="s">
        <v>93</v>
      </c>
      <c r="B101" s="61" t="str">
        <f t="shared" si="3"/>
        <v>2013</v>
      </c>
      <c r="C101" s="69">
        <v>22074</v>
      </c>
      <c r="D101" s="63">
        <v>2013</v>
      </c>
      <c r="E101" s="64">
        <v>100</v>
      </c>
    </row>
    <row r="102" spans="1:5" x14ac:dyDescent="0.35">
      <c r="A102" s="68" t="s">
        <v>94</v>
      </c>
      <c r="B102" s="61" t="str">
        <f t="shared" si="3"/>
        <v>2014</v>
      </c>
      <c r="C102" s="69">
        <v>20634</v>
      </c>
      <c r="D102" s="63">
        <v>2014</v>
      </c>
      <c r="E102" s="64">
        <v>101</v>
      </c>
    </row>
    <row r="103" spans="1:5" x14ac:dyDescent="0.35">
      <c r="A103" s="68" t="s">
        <v>95</v>
      </c>
      <c r="B103" s="61" t="str">
        <f t="shared" si="3"/>
        <v>2014</v>
      </c>
      <c r="C103" s="69">
        <v>19140</v>
      </c>
      <c r="D103" s="63">
        <v>2014</v>
      </c>
      <c r="E103" s="64">
        <v>102</v>
      </c>
    </row>
    <row r="104" spans="1:5" x14ac:dyDescent="0.35">
      <c r="A104" s="68" t="s">
        <v>96</v>
      </c>
      <c r="B104" s="61" t="str">
        <f t="shared" si="3"/>
        <v>2014</v>
      </c>
      <c r="C104" s="69">
        <v>20488</v>
      </c>
      <c r="D104" s="63">
        <v>2014</v>
      </c>
      <c r="E104" s="64">
        <v>103</v>
      </c>
    </row>
    <row r="105" spans="1:5" x14ac:dyDescent="0.35">
      <c r="A105" s="68" t="s">
        <v>97</v>
      </c>
      <c r="B105" s="61" t="str">
        <f t="shared" si="3"/>
        <v>2014</v>
      </c>
      <c r="C105" s="69">
        <v>20621</v>
      </c>
      <c r="D105" s="63">
        <v>2014</v>
      </c>
      <c r="E105" s="64">
        <v>104</v>
      </c>
    </row>
    <row r="106" spans="1:5" x14ac:dyDescent="0.35">
      <c r="A106" s="70" t="s">
        <v>98</v>
      </c>
      <c r="B106" s="61" t="str">
        <f t="shared" si="3"/>
        <v>2014</v>
      </c>
      <c r="C106" s="69">
        <v>21069</v>
      </c>
      <c r="D106" s="63">
        <v>2014</v>
      </c>
      <c r="E106" s="64">
        <v>105</v>
      </c>
    </row>
    <row r="107" spans="1:5" x14ac:dyDescent="0.35">
      <c r="A107" s="68" t="s">
        <v>99</v>
      </c>
      <c r="B107" s="61" t="str">
        <f t="shared" si="3"/>
        <v>2014</v>
      </c>
      <c r="C107" s="69">
        <v>20421</v>
      </c>
      <c r="D107" s="63">
        <v>2014</v>
      </c>
      <c r="E107" s="64">
        <v>106</v>
      </c>
    </row>
    <row r="108" spans="1:5" x14ac:dyDescent="0.35">
      <c r="A108" s="68" t="s">
        <v>100</v>
      </c>
      <c r="B108" s="61" t="str">
        <f t="shared" si="3"/>
        <v>2014</v>
      </c>
      <c r="C108" s="69">
        <v>20910</v>
      </c>
      <c r="D108" s="63">
        <v>2014</v>
      </c>
      <c r="E108" s="64">
        <v>107</v>
      </c>
    </row>
    <row r="109" spans="1:5" x14ac:dyDescent="0.35">
      <c r="A109" s="68" t="s">
        <v>101</v>
      </c>
      <c r="B109" s="61" t="str">
        <f t="shared" si="3"/>
        <v>2014</v>
      </c>
      <c r="C109" s="69">
        <v>20631</v>
      </c>
      <c r="D109" s="63">
        <v>2014</v>
      </c>
      <c r="E109" s="64">
        <v>108</v>
      </c>
    </row>
    <row r="110" spans="1:5" x14ac:dyDescent="0.35">
      <c r="A110" s="68" t="s">
        <v>102</v>
      </c>
      <c r="B110" s="61" t="str">
        <f t="shared" si="3"/>
        <v>2014</v>
      </c>
      <c r="C110" s="69">
        <v>20699</v>
      </c>
      <c r="D110" s="63">
        <v>2014</v>
      </c>
      <c r="E110" s="64">
        <v>109</v>
      </c>
    </row>
    <row r="111" spans="1:5" x14ac:dyDescent="0.35">
      <c r="A111" s="68" t="s">
        <v>103</v>
      </c>
      <c r="B111" s="61" t="str">
        <f t="shared" si="3"/>
        <v>2014</v>
      </c>
      <c r="C111" s="69">
        <v>21676</v>
      </c>
      <c r="D111" s="63">
        <v>2014</v>
      </c>
      <c r="E111" s="64">
        <v>110</v>
      </c>
    </row>
    <row r="112" spans="1:5" x14ac:dyDescent="0.35">
      <c r="A112" s="68" t="s">
        <v>104</v>
      </c>
      <c r="B112" s="61" t="str">
        <f t="shared" si="3"/>
        <v>2014</v>
      </c>
      <c r="C112" s="69">
        <v>20211</v>
      </c>
      <c r="D112" s="63">
        <v>2014</v>
      </c>
      <c r="E112" s="64">
        <v>111</v>
      </c>
    </row>
    <row r="113" spans="1:5" x14ac:dyDescent="0.35">
      <c r="A113" s="68" t="s">
        <v>105</v>
      </c>
      <c r="B113" s="61" t="str">
        <f t="shared" si="3"/>
        <v>2014</v>
      </c>
      <c r="C113" s="69">
        <v>24046</v>
      </c>
      <c r="D113" s="63">
        <v>2014</v>
      </c>
      <c r="E113" s="64">
        <v>112</v>
      </c>
    </row>
    <row r="114" spans="1:5" x14ac:dyDescent="0.35">
      <c r="A114" s="68" t="s">
        <v>106</v>
      </c>
      <c r="B114" s="61" t="str">
        <f t="shared" si="3"/>
        <v>2015</v>
      </c>
      <c r="C114" s="69">
        <v>21713</v>
      </c>
      <c r="D114" s="63">
        <v>2015</v>
      </c>
      <c r="E114" s="64">
        <v>113</v>
      </c>
    </row>
    <row r="115" spans="1:5" x14ac:dyDescent="0.35">
      <c r="A115" s="68" t="s">
        <v>107</v>
      </c>
      <c r="B115" s="61" t="str">
        <f t="shared" si="3"/>
        <v>2015</v>
      </c>
      <c r="C115" s="69">
        <v>20085</v>
      </c>
      <c r="D115" s="63">
        <v>2015</v>
      </c>
      <c r="E115" s="64">
        <v>114</v>
      </c>
    </row>
    <row r="116" spans="1:5" x14ac:dyDescent="0.35">
      <c r="A116" s="68" t="s">
        <v>108</v>
      </c>
      <c r="B116" s="61" t="str">
        <f t="shared" si="3"/>
        <v>2015</v>
      </c>
      <c r="C116" s="69">
        <v>22366</v>
      </c>
      <c r="D116" s="63">
        <v>2015</v>
      </c>
      <c r="E116" s="64">
        <v>115</v>
      </c>
    </row>
    <row r="117" spans="1:5" x14ac:dyDescent="0.35">
      <c r="A117" s="68" t="s">
        <v>109</v>
      </c>
      <c r="B117" s="61" t="str">
        <f t="shared" si="3"/>
        <v>2015</v>
      </c>
      <c r="C117" s="69">
        <v>21551</v>
      </c>
      <c r="D117" s="63">
        <v>2015</v>
      </c>
      <c r="E117" s="64">
        <v>116</v>
      </c>
    </row>
    <row r="118" spans="1:5" x14ac:dyDescent="0.35">
      <c r="A118" s="70" t="s">
        <v>110</v>
      </c>
      <c r="B118" s="61" t="str">
        <f t="shared" si="3"/>
        <v>2015</v>
      </c>
      <c r="C118" s="69">
        <v>21461</v>
      </c>
      <c r="D118" s="63">
        <v>2015</v>
      </c>
      <c r="E118" s="64">
        <v>117</v>
      </c>
    </row>
    <row r="119" spans="1:5" x14ac:dyDescent="0.35">
      <c r="A119" s="68" t="s">
        <v>111</v>
      </c>
      <c r="B119" s="61" t="str">
        <f t="shared" si="3"/>
        <v>2015</v>
      </c>
      <c r="C119" s="69">
        <v>21489</v>
      </c>
      <c r="D119" s="63">
        <v>2015</v>
      </c>
      <c r="E119" s="64">
        <v>118</v>
      </c>
    </row>
    <row r="120" spans="1:5" x14ac:dyDescent="0.35">
      <c r="A120" s="68" t="s">
        <v>112</v>
      </c>
      <c r="B120" s="61" t="str">
        <f t="shared" si="3"/>
        <v>2015</v>
      </c>
      <c r="C120" s="69">
        <v>21774</v>
      </c>
      <c r="D120" s="63">
        <v>2015</v>
      </c>
      <c r="E120" s="64">
        <v>119</v>
      </c>
    </row>
    <row r="121" spans="1:5" x14ac:dyDescent="0.35">
      <c r="A121" s="68" t="s">
        <v>113</v>
      </c>
      <c r="B121" s="61" t="str">
        <f t="shared" si="3"/>
        <v>2015</v>
      </c>
      <c r="C121" s="69">
        <v>21533</v>
      </c>
      <c r="D121" s="63">
        <v>2015</v>
      </c>
      <c r="E121" s="64">
        <v>120</v>
      </c>
    </row>
    <row r="122" spans="1:5" x14ac:dyDescent="0.35">
      <c r="A122" s="68" t="s">
        <v>114</v>
      </c>
      <c r="B122" s="61" t="str">
        <f t="shared" si="3"/>
        <v>2015</v>
      </c>
      <c r="C122" s="69">
        <v>22018</v>
      </c>
      <c r="D122" s="63">
        <v>2015</v>
      </c>
      <c r="E122" s="64">
        <v>121</v>
      </c>
    </row>
    <row r="123" spans="1:5" x14ac:dyDescent="0.35">
      <c r="A123" s="68" t="s">
        <v>115</v>
      </c>
      <c r="B123" s="61" t="str">
        <f t="shared" si="3"/>
        <v>2015</v>
      </c>
      <c r="C123" s="69">
        <v>22625</v>
      </c>
      <c r="D123" s="63">
        <v>2015</v>
      </c>
      <c r="E123" s="64">
        <v>122</v>
      </c>
    </row>
    <row r="124" spans="1:5" x14ac:dyDescent="0.35">
      <c r="A124" s="68" t="s">
        <v>116</v>
      </c>
      <c r="B124" s="61" t="str">
        <f t="shared" si="3"/>
        <v>2015</v>
      </c>
      <c r="C124" s="69">
        <v>21642</v>
      </c>
      <c r="D124" s="63">
        <v>2015</v>
      </c>
      <c r="E124" s="64">
        <v>123</v>
      </c>
    </row>
    <row r="125" spans="1:5" x14ac:dyDescent="0.35">
      <c r="A125" s="68" t="s">
        <v>117</v>
      </c>
      <c r="B125" s="61" t="str">
        <f t="shared" si="3"/>
        <v>2015</v>
      </c>
      <c r="C125" s="69">
        <v>25212</v>
      </c>
      <c r="D125" s="63">
        <v>2015</v>
      </c>
      <c r="E125" s="64">
        <v>124</v>
      </c>
    </row>
    <row r="126" spans="1:5" x14ac:dyDescent="0.35">
      <c r="A126" s="68" t="s">
        <v>118</v>
      </c>
      <c r="B126" s="61" t="str">
        <f t="shared" si="3"/>
        <v>2016</v>
      </c>
      <c r="C126" s="69">
        <v>22157</v>
      </c>
      <c r="D126" s="63">
        <v>2016</v>
      </c>
      <c r="E126" s="64">
        <v>125</v>
      </c>
    </row>
    <row r="127" spans="1:5" x14ac:dyDescent="0.35">
      <c r="A127" s="68" t="s">
        <v>119</v>
      </c>
      <c r="B127" s="61" t="str">
        <f t="shared" si="3"/>
        <v>2016</v>
      </c>
      <c r="C127" s="69">
        <v>22390</v>
      </c>
      <c r="D127" s="63">
        <v>2016</v>
      </c>
      <c r="E127" s="64">
        <v>126</v>
      </c>
    </row>
    <row r="128" spans="1:5" x14ac:dyDescent="0.35">
      <c r="A128" s="68" t="s">
        <v>120</v>
      </c>
      <c r="B128" s="61" t="str">
        <f t="shared" si="3"/>
        <v>2016</v>
      </c>
      <c r="C128" s="69">
        <v>23550</v>
      </c>
      <c r="D128" s="63">
        <v>2016</v>
      </c>
      <c r="E128" s="64">
        <v>127</v>
      </c>
    </row>
    <row r="129" spans="1:5" x14ac:dyDescent="0.35">
      <c r="A129" s="68" t="s">
        <v>121</v>
      </c>
      <c r="B129" s="61" t="str">
        <f t="shared" si="3"/>
        <v>2016</v>
      </c>
      <c r="C129" s="69">
        <v>22650</v>
      </c>
      <c r="D129" s="63">
        <v>2016</v>
      </c>
      <c r="E129" s="64">
        <v>128</v>
      </c>
    </row>
    <row r="130" spans="1:5" x14ac:dyDescent="0.35">
      <c r="A130" s="70" t="s">
        <v>122</v>
      </c>
      <c r="B130" s="61" t="str">
        <f t="shared" ref="B130:B161" si="4">MID(A130,6,4)</f>
        <v>2016</v>
      </c>
      <c r="C130" s="69">
        <v>23091</v>
      </c>
      <c r="D130" s="63">
        <v>2016</v>
      </c>
      <c r="E130" s="64">
        <v>129</v>
      </c>
    </row>
    <row r="131" spans="1:5" x14ac:dyDescent="0.35">
      <c r="A131" s="68" t="s">
        <v>123</v>
      </c>
      <c r="B131" s="61" t="str">
        <f t="shared" si="4"/>
        <v>2016</v>
      </c>
      <c r="C131" s="69">
        <v>22696</v>
      </c>
      <c r="D131" s="63">
        <v>2016</v>
      </c>
      <c r="E131" s="64">
        <v>130</v>
      </c>
    </row>
    <row r="132" spans="1:5" x14ac:dyDescent="0.35">
      <c r="A132" s="68" t="s">
        <v>124</v>
      </c>
      <c r="B132" s="61" t="str">
        <f t="shared" si="4"/>
        <v>2016</v>
      </c>
      <c r="C132" s="69">
        <v>22157</v>
      </c>
      <c r="D132" s="63">
        <v>2016</v>
      </c>
      <c r="E132" s="64">
        <v>131</v>
      </c>
    </row>
    <row r="133" spans="1:5" x14ac:dyDescent="0.35">
      <c r="A133" s="68" t="s">
        <v>125</v>
      </c>
      <c r="B133" s="61" t="str">
        <f t="shared" si="4"/>
        <v>2016</v>
      </c>
      <c r="C133" s="69">
        <v>22989</v>
      </c>
      <c r="D133" s="63">
        <v>2016</v>
      </c>
      <c r="E133" s="64">
        <v>132</v>
      </c>
    </row>
    <row r="134" spans="1:5" x14ac:dyDescent="0.35">
      <c r="A134" s="68" t="s">
        <v>126</v>
      </c>
      <c r="B134" s="61" t="str">
        <f t="shared" si="4"/>
        <v>2016</v>
      </c>
      <c r="C134" s="69">
        <v>22211</v>
      </c>
      <c r="D134" s="63">
        <v>2016</v>
      </c>
      <c r="E134" s="64">
        <v>133</v>
      </c>
    </row>
    <row r="135" spans="1:5" x14ac:dyDescent="0.35">
      <c r="A135" s="68" t="s">
        <v>127</v>
      </c>
      <c r="B135" s="61" t="str">
        <f t="shared" si="4"/>
        <v>2016</v>
      </c>
      <c r="C135" s="69">
        <v>22096</v>
      </c>
      <c r="D135" s="63">
        <v>2016</v>
      </c>
      <c r="E135" s="64">
        <v>134</v>
      </c>
    </row>
    <row r="136" spans="1:5" x14ac:dyDescent="0.35">
      <c r="A136" s="68" t="s">
        <v>128</v>
      </c>
      <c r="B136" s="61" t="str">
        <f t="shared" si="4"/>
        <v>2016</v>
      </c>
      <c r="C136" s="69">
        <v>21854</v>
      </c>
      <c r="D136" s="63">
        <v>2016</v>
      </c>
      <c r="E136" s="64">
        <v>135</v>
      </c>
    </row>
    <row r="137" spans="1:5" x14ac:dyDescent="0.35">
      <c r="A137" s="68" t="s">
        <v>129</v>
      </c>
      <c r="B137" s="61" t="str">
        <f t="shared" si="4"/>
        <v>2016</v>
      </c>
      <c r="C137" s="69">
        <v>24489</v>
      </c>
      <c r="D137" s="63">
        <v>2016</v>
      </c>
      <c r="E137" s="64">
        <v>136</v>
      </c>
    </row>
    <row r="138" spans="1:5" x14ac:dyDescent="0.35">
      <c r="A138" s="68" t="s">
        <v>130</v>
      </c>
      <c r="B138" s="61" t="str">
        <f t="shared" si="4"/>
        <v>2017</v>
      </c>
      <c r="C138" s="69">
        <v>22379</v>
      </c>
      <c r="D138" s="63">
        <v>2017</v>
      </c>
      <c r="E138" s="64">
        <v>137</v>
      </c>
    </row>
    <row r="139" spans="1:5" x14ac:dyDescent="0.35">
      <c r="A139" s="68" t="s">
        <v>131</v>
      </c>
      <c r="B139" s="61" t="str">
        <f t="shared" si="4"/>
        <v>2017</v>
      </c>
      <c r="C139" s="69">
        <v>21234</v>
      </c>
      <c r="D139" s="63">
        <v>2017</v>
      </c>
      <c r="E139" s="64">
        <v>138</v>
      </c>
    </row>
    <row r="140" spans="1:5" x14ac:dyDescent="0.35">
      <c r="A140" s="68" t="s">
        <v>132</v>
      </c>
      <c r="B140" s="61" t="str">
        <f t="shared" si="4"/>
        <v>2017</v>
      </c>
      <c r="C140" s="69">
        <v>23348</v>
      </c>
      <c r="D140" s="63">
        <v>2017</v>
      </c>
      <c r="E140" s="64">
        <v>139</v>
      </c>
    </row>
    <row r="141" spans="1:5" x14ac:dyDescent="0.35">
      <c r="A141" s="68" t="s">
        <v>133</v>
      </c>
      <c r="B141" s="61" t="str">
        <f t="shared" si="4"/>
        <v>2017</v>
      </c>
      <c r="C141" s="69">
        <v>22294</v>
      </c>
      <c r="D141" s="63">
        <v>2017</v>
      </c>
      <c r="E141" s="64">
        <v>140</v>
      </c>
    </row>
    <row r="142" spans="1:5" x14ac:dyDescent="0.35">
      <c r="A142" s="70" t="s">
        <v>134</v>
      </c>
      <c r="B142" s="61" t="str">
        <f t="shared" si="4"/>
        <v>2017</v>
      </c>
      <c r="C142" s="69">
        <v>23737</v>
      </c>
      <c r="D142" s="63">
        <v>2017</v>
      </c>
      <c r="E142" s="64">
        <v>141</v>
      </c>
    </row>
    <row r="143" spans="1:5" x14ac:dyDescent="0.35">
      <c r="A143" s="68" t="s">
        <v>135</v>
      </c>
      <c r="B143" s="61" t="str">
        <f t="shared" si="4"/>
        <v>2017</v>
      </c>
      <c r="C143" s="69">
        <v>23055</v>
      </c>
      <c r="D143" s="63">
        <v>2017</v>
      </c>
      <c r="E143" s="64">
        <v>142</v>
      </c>
    </row>
    <row r="144" spans="1:5" x14ac:dyDescent="0.35">
      <c r="A144" s="68" t="s">
        <v>136</v>
      </c>
      <c r="B144" s="61" t="str">
        <f t="shared" si="4"/>
        <v>2017</v>
      </c>
      <c r="C144" s="69">
        <v>22295</v>
      </c>
      <c r="D144" s="63">
        <v>2017</v>
      </c>
      <c r="E144" s="64">
        <v>143</v>
      </c>
    </row>
    <row r="145" spans="1:5" x14ac:dyDescent="0.35">
      <c r="A145" s="68" t="s">
        <v>137</v>
      </c>
      <c r="B145" s="61" t="str">
        <f t="shared" si="4"/>
        <v>2017</v>
      </c>
      <c r="C145" s="69">
        <v>23540</v>
      </c>
      <c r="D145" s="63">
        <v>2017</v>
      </c>
      <c r="E145" s="64">
        <v>144</v>
      </c>
    </row>
    <row r="146" spans="1:5" x14ac:dyDescent="0.35">
      <c r="A146" s="68" t="s">
        <v>138</v>
      </c>
      <c r="B146" s="61" t="str">
        <f t="shared" si="4"/>
        <v>2017</v>
      </c>
      <c r="C146" s="69">
        <v>22628</v>
      </c>
      <c r="D146" s="63">
        <v>2017</v>
      </c>
      <c r="E146" s="64">
        <v>145</v>
      </c>
    </row>
    <row r="147" spans="1:5" x14ac:dyDescent="0.35">
      <c r="A147" s="68" t="s">
        <v>139</v>
      </c>
      <c r="B147" s="61" t="str">
        <f t="shared" si="4"/>
        <v>2017</v>
      </c>
      <c r="C147" s="69">
        <v>24105</v>
      </c>
      <c r="D147" s="63">
        <v>2017</v>
      </c>
      <c r="E147" s="64">
        <v>146</v>
      </c>
    </row>
    <row r="148" spans="1:5" x14ac:dyDescent="0.35">
      <c r="A148" s="68" t="s">
        <v>140</v>
      </c>
      <c r="B148" s="61" t="str">
        <f t="shared" si="4"/>
        <v>2017</v>
      </c>
      <c r="C148" s="69">
        <v>23359</v>
      </c>
      <c r="D148" s="63">
        <v>2017</v>
      </c>
      <c r="E148" s="64">
        <v>147</v>
      </c>
    </row>
    <row r="149" spans="1:5" x14ac:dyDescent="0.35">
      <c r="A149" s="68" t="s">
        <v>141</v>
      </c>
      <c r="B149" s="61" t="str">
        <f t="shared" si="4"/>
        <v>2017</v>
      </c>
      <c r="C149" s="69">
        <v>25422</v>
      </c>
      <c r="D149" s="63">
        <v>2017</v>
      </c>
      <c r="E149" s="64">
        <v>148</v>
      </c>
    </row>
    <row r="150" spans="1:5" x14ac:dyDescent="0.35">
      <c r="A150" s="68" t="s">
        <v>142</v>
      </c>
      <c r="B150" s="61" t="str">
        <f t="shared" si="4"/>
        <v>2018</v>
      </c>
      <c r="C150" s="69">
        <v>24280</v>
      </c>
      <c r="D150" s="63">
        <v>2018</v>
      </c>
      <c r="E150" s="64">
        <v>149</v>
      </c>
    </row>
    <row r="151" spans="1:5" x14ac:dyDescent="0.35">
      <c r="A151" s="68" t="s">
        <v>143</v>
      </c>
      <c r="B151" s="61" t="str">
        <f t="shared" si="4"/>
        <v>2018</v>
      </c>
      <c r="C151" s="69">
        <v>22007</v>
      </c>
      <c r="D151" s="63">
        <v>2018</v>
      </c>
      <c r="E151" s="64">
        <v>150</v>
      </c>
    </row>
    <row r="152" spans="1:5" x14ac:dyDescent="0.35">
      <c r="A152" s="68" t="s">
        <v>144</v>
      </c>
      <c r="B152" s="61" t="str">
        <f t="shared" si="4"/>
        <v>2018</v>
      </c>
      <c r="C152" s="69">
        <v>24075</v>
      </c>
      <c r="D152" s="63">
        <v>2018</v>
      </c>
      <c r="E152" s="64">
        <v>151</v>
      </c>
    </row>
    <row r="153" spans="1:5" x14ac:dyDescent="0.35">
      <c r="A153" s="68" t="s">
        <v>145</v>
      </c>
      <c r="B153" s="61" t="str">
        <f t="shared" si="4"/>
        <v>2018</v>
      </c>
      <c r="C153" s="69">
        <v>23242</v>
      </c>
      <c r="D153" s="63">
        <v>2018</v>
      </c>
      <c r="E153" s="64">
        <v>152</v>
      </c>
    </row>
    <row r="154" spans="1:5" x14ac:dyDescent="0.35">
      <c r="A154" s="70" t="s">
        <v>146</v>
      </c>
      <c r="B154" s="61" t="str">
        <f t="shared" si="4"/>
        <v>2018</v>
      </c>
      <c r="C154" s="69">
        <v>24848</v>
      </c>
      <c r="D154" s="63">
        <v>2018</v>
      </c>
      <c r="E154" s="64">
        <v>153</v>
      </c>
    </row>
    <row r="155" spans="1:5" x14ac:dyDescent="0.35">
      <c r="A155" s="68" t="s">
        <v>147</v>
      </c>
      <c r="B155" s="61" t="str">
        <f t="shared" si="4"/>
        <v>2018</v>
      </c>
      <c r="C155" s="69">
        <v>23329</v>
      </c>
      <c r="D155" s="63">
        <v>2018</v>
      </c>
      <c r="E155" s="64">
        <v>154</v>
      </c>
    </row>
    <row r="156" spans="1:5" x14ac:dyDescent="0.35">
      <c r="A156" s="68" t="s">
        <v>148</v>
      </c>
      <c r="B156" s="61" t="str">
        <f t="shared" si="4"/>
        <v>2018</v>
      </c>
      <c r="C156" s="69">
        <v>23581</v>
      </c>
      <c r="D156" s="63">
        <v>2018</v>
      </c>
      <c r="E156" s="64">
        <v>155</v>
      </c>
    </row>
    <row r="157" spans="1:5" x14ac:dyDescent="0.35">
      <c r="A157" s="68" t="s">
        <v>149</v>
      </c>
      <c r="B157" s="61" t="str">
        <f t="shared" si="4"/>
        <v>2018</v>
      </c>
      <c r="C157" s="69">
        <v>24762</v>
      </c>
      <c r="D157" s="63">
        <v>2018</v>
      </c>
      <c r="E157" s="64">
        <v>156</v>
      </c>
    </row>
    <row r="158" spans="1:5" x14ac:dyDescent="0.35">
      <c r="A158" s="68" t="s">
        <v>150</v>
      </c>
      <c r="B158" s="61" t="str">
        <f t="shared" si="4"/>
        <v>2018</v>
      </c>
      <c r="C158" s="69">
        <v>22930</v>
      </c>
      <c r="D158" s="63">
        <v>2018</v>
      </c>
      <c r="E158" s="64">
        <v>157</v>
      </c>
    </row>
    <row r="159" spans="1:5" x14ac:dyDescent="0.35">
      <c r="A159" s="68" t="s">
        <v>151</v>
      </c>
      <c r="B159" s="61" t="str">
        <f t="shared" si="4"/>
        <v>2018</v>
      </c>
      <c r="C159" s="69">
        <v>25608</v>
      </c>
      <c r="D159" s="63">
        <v>2018</v>
      </c>
      <c r="E159" s="64">
        <v>158</v>
      </c>
    </row>
    <row r="160" spans="1:5" x14ac:dyDescent="0.35">
      <c r="A160" s="68" t="s">
        <v>152</v>
      </c>
      <c r="B160" s="61" t="str">
        <f t="shared" si="4"/>
        <v>2018</v>
      </c>
      <c r="C160" s="69">
        <v>24553</v>
      </c>
      <c r="D160" s="63">
        <v>2018</v>
      </c>
      <c r="E160" s="64">
        <v>159</v>
      </c>
    </row>
    <row r="161" spans="1:5" x14ac:dyDescent="0.35">
      <c r="A161" s="68" t="s">
        <v>153</v>
      </c>
      <c r="B161" s="61" t="str">
        <f t="shared" si="4"/>
        <v>2018</v>
      </c>
      <c r="C161" s="69">
        <v>25631</v>
      </c>
      <c r="D161" s="63">
        <v>2018</v>
      </c>
      <c r="E161" s="64">
        <v>160</v>
      </c>
    </row>
    <row r="162" spans="1:5" x14ac:dyDescent="0.35">
      <c r="A162" s="68" t="s">
        <v>154</v>
      </c>
      <c r="B162" s="61" t="str">
        <f t="shared" ref="B162:B193" si="5">MID(A162,6,4)</f>
        <v>2019</v>
      </c>
      <c r="C162" s="69">
        <v>25037</v>
      </c>
      <c r="D162" s="63">
        <v>2019</v>
      </c>
      <c r="E162" s="64">
        <v>161</v>
      </c>
    </row>
    <row r="163" spans="1:5" x14ac:dyDescent="0.35">
      <c r="A163" s="68" t="s">
        <v>155</v>
      </c>
      <c r="B163" s="61" t="str">
        <f t="shared" si="5"/>
        <v>2019</v>
      </c>
      <c r="C163" s="69">
        <v>23240</v>
      </c>
      <c r="D163" s="63">
        <v>2019</v>
      </c>
      <c r="E163" s="64">
        <v>162</v>
      </c>
    </row>
    <row r="164" spans="1:5" x14ac:dyDescent="0.35">
      <c r="A164" s="68" t="s">
        <v>156</v>
      </c>
      <c r="B164" s="61" t="str">
        <f t="shared" si="5"/>
        <v>2019</v>
      </c>
      <c r="C164" s="69">
        <v>24577</v>
      </c>
      <c r="D164" s="63">
        <v>2019</v>
      </c>
      <c r="E164" s="64">
        <v>163</v>
      </c>
    </row>
    <row r="165" spans="1:5" x14ac:dyDescent="0.35">
      <c r="A165" s="68" t="s">
        <v>157</v>
      </c>
      <c r="B165" s="61" t="str">
        <f t="shared" si="5"/>
        <v>2019</v>
      </c>
      <c r="C165" s="69">
        <v>24806</v>
      </c>
      <c r="D165" s="63">
        <v>2019</v>
      </c>
      <c r="E165" s="64">
        <v>164</v>
      </c>
    </row>
    <row r="166" spans="1:5" x14ac:dyDescent="0.35">
      <c r="A166" s="70" t="s">
        <v>158</v>
      </c>
      <c r="B166" s="61" t="str">
        <f t="shared" si="5"/>
        <v>2019</v>
      </c>
      <c r="C166" s="69">
        <v>25717</v>
      </c>
      <c r="D166" s="63">
        <v>2019</v>
      </c>
      <c r="E166" s="64">
        <v>165</v>
      </c>
    </row>
    <row r="167" spans="1:5" x14ac:dyDescent="0.35">
      <c r="A167" s="68" t="s">
        <v>159</v>
      </c>
      <c r="B167" s="61" t="str">
        <f t="shared" si="5"/>
        <v>2019</v>
      </c>
      <c r="C167" s="69">
        <v>23745</v>
      </c>
      <c r="D167" s="63">
        <v>2019</v>
      </c>
      <c r="E167" s="64">
        <v>166</v>
      </c>
    </row>
    <row r="168" spans="1:5" x14ac:dyDescent="0.35">
      <c r="A168" s="68" t="s">
        <v>160</v>
      </c>
      <c r="B168" s="61" t="str">
        <f t="shared" si="5"/>
        <v>2019</v>
      </c>
      <c r="C168" s="69">
        <v>24531</v>
      </c>
      <c r="D168" s="63">
        <v>2019</v>
      </c>
      <c r="E168" s="64">
        <v>167</v>
      </c>
    </row>
    <row r="169" spans="1:5" x14ac:dyDescent="0.35">
      <c r="A169" s="68" t="s">
        <v>161</v>
      </c>
      <c r="B169" s="61" t="str">
        <f t="shared" si="5"/>
        <v>2019</v>
      </c>
      <c r="C169" s="69">
        <v>24710</v>
      </c>
      <c r="D169" s="63">
        <v>2019</v>
      </c>
      <c r="E169" s="64">
        <v>168</v>
      </c>
    </row>
    <row r="170" spans="1:5" x14ac:dyDescent="0.35">
      <c r="A170" s="68" t="s">
        <v>162</v>
      </c>
      <c r="B170" s="61" t="str">
        <f t="shared" si="5"/>
        <v>2019</v>
      </c>
      <c r="C170" s="69">
        <v>23630</v>
      </c>
      <c r="D170" s="63">
        <v>2019</v>
      </c>
      <c r="E170" s="64">
        <v>169</v>
      </c>
    </row>
    <row r="171" spans="1:5" x14ac:dyDescent="0.35">
      <c r="A171" s="68" t="s">
        <v>163</v>
      </c>
      <c r="B171" s="61" t="str">
        <f t="shared" si="5"/>
        <v>2019</v>
      </c>
      <c r="C171" s="69">
        <v>26097</v>
      </c>
      <c r="D171" s="63">
        <v>2019</v>
      </c>
      <c r="E171" s="64">
        <v>170</v>
      </c>
    </row>
    <row r="172" spans="1:5" x14ac:dyDescent="0.35">
      <c r="A172" s="68" t="s">
        <v>164</v>
      </c>
      <c r="B172" s="61" t="str">
        <f t="shared" si="5"/>
        <v>2019</v>
      </c>
      <c r="C172" s="69">
        <v>23964</v>
      </c>
      <c r="D172" s="63">
        <v>2019</v>
      </c>
      <c r="E172" s="64">
        <v>171</v>
      </c>
    </row>
    <row r="173" spans="1:5" x14ac:dyDescent="0.35">
      <c r="A173" s="68" t="s">
        <v>165</v>
      </c>
      <c r="B173" s="61" t="str">
        <f t="shared" si="5"/>
        <v>2019</v>
      </c>
      <c r="C173" s="69">
        <v>26509</v>
      </c>
      <c r="D173" s="63">
        <v>2019</v>
      </c>
      <c r="E173" s="64">
        <v>172</v>
      </c>
    </row>
    <row r="174" spans="1:5" x14ac:dyDescent="0.35">
      <c r="A174" s="68" t="s">
        <v>166</v>
      </c>
      <c r="B174" s="61" t="str">
        <f t="shared" si="5"/>
        <v>2020</v>
      </c>
      <c r="C174" s="69">
        <v>25209</v>
      </c>
      <c r="D174" s="63">
        <v>2020</v>
      </c>
      <c r="E174" s="64">
        <v>173</v>
      </c>
    </row>
    <row r="175" spans="1:5" x14ac:dyDescent="0.35">
      <c r="A175" s="68" t="s">
        <v>167</v>
      </c>
      <c r="B175" s="61" t="str">
        <f t="shared" si="5"/>
        <v>2020</v>
      </c>
      <c r="C175" s="69">
        <v>23934</v>
      </c>
      <c r="D175" s="63">
        <v>2020</v>
      </c>
      <c r="E175" s="64">
        <v>174</v>
      </c>
    </row>
    <row r="176" spans="1:5" x14ac:dyDescent="0.35">
      <c r="A176" s="68" t="s">
        <v>168</v>
      </c>
      <c r="B176" s="61" t="str">
        <f t="shared" si="5"/>
        <v>2020</v>
      </c>
      <c r="C176" s="69">
        <v>27839</v>
      </c>
      <c r="D176" s="63">
        <v>2020</v>
      </c>
      <c r="E176" s="64">
        <v>175</v>
      </c>
    </row>
    <row r="177" spans="1:5" x14ac:dyDescent="0.35">
      <c r="A177" s="68" t="s">
        <v>169</v>
      </c>
      <c r="B177" s="61" t="str">
        <f t="shared" si="5"/>
        <v>2020</v>
      </c>
      <c r="C177" s="69">
        <v>24749</v>
      </c>
      <c r="D177" s="63">
        <v>2020</v>
      </c>
      <c r="E177" s="64">
        <v>176</v>
      </c>
    </row>
    <row r="178" spans="1:5" x14ac:dyDescent="0.35">
      <c r="A178" s="70" t="s">
        <v>170</v>
      </c>
      <c r="B178" s="61" t="str">
        <f t="shared" si="5"/>
        <v>2020</v>
      </c>
      <c r="C178" s="69">
        <v>24923</v>
      </c>
      <c r="D178" s="63">
        <v>2020</v>
      </c>
      <c r="E178" s="64">
        <v>177</v>
      </c>
    </row>
    <row r="179" spans="1:5" x14ac:dyDescent="0.35">
      <c r="A179" s="68" t="s">
        <v>171</v>
      </c>
      <c r="B179" s="61" t="str">
        <f t="shared" si="5"/>
        <v>2020</v>
      </c>
      <c r="C179" s="69">
        <v>25841</v>
      </c>
      <c r="D179" s="63">
        <v>2020</v>
      </c>
      <c r="E179" s="64">
        <v>178</v>
      </c>
    </row>
    <row r="180" spans="1:5" x14ac:dyDescent="0.35">
      <c r="A180" s="68" t="s">
        <v>172</v>
      </c>
      <c r="B180" s="61" t="str">
        <f t="shared" si="5"/>
        <v>2020</v>
      </c>
      <c r="C180" s="69">
        <v>26334</v>
      </c>
      <c r="D180" s="63">
        <v>2020</v>
      </c>
      <c r="E180" s="64">
        <v>179</v>
      </c>
    </row>
    <row r="181" spans="1:5" ht="15" thickBot="1" x14ac:dyDescent="0.4">
      <c r="A181" s="71" t="s">
        <v>173</v>
      </c>
      <c r="B181" s="72" t="str">
        <f t="shared" si="5"/>
        <v>2020</v>
      </c>
      <c r="C181" s="73">
        <v>25913</v>
      </c>
      <c r="D181" s="74">
        <v>2020</v>
      </c>
      <c r="E181" s="75">
        <v>180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921E-BDA8-4E83-8BA5-0C920D7D25F5}">
  <dimension ref="A1:M181"/>
  <sheetViews>
    <sheetView workbookViewId="0">
      <selection activeCell="H2" sqref="H2:M2"/>
    </sheetView>
  </sheetViews>
  <sheetFormatPr defaultRowHeight="14.5" x14ac:dyDescent="0.35"/>
  <cols>
    <col min="3" max="3" width="22.1796875" bestFit="1" customWidth="1"/>
  </cols>
  <sheetData>
    <row r="1" spans="1:13" ht="15" thickBot="1" x14ac:dyDescent="0.4">
      <c r="A1" s="76" t="s">
        <v>174</v>
      </c>
      <c r="B1" s="76" t="s">
        <v>175</v>
      </c>
      <c r="C1" s="78" t="s">
        <v>4</v>
      </c>
      <c r="D1" s="77" t="s">
        <v>175</v>
      </c>
      <c r="E1" s="79" t="s">
        <v>184</v>
      </c>
    </row>
    <row r="2" spans="1:13" ht="15" thickBot="1" x14ac:dyDescent="0.4">
      <c r="A2" s="60" t="s">
        <v>0</v>
      </c>
      <c r="B2" s="61" t="str">
        <f t="shared" ref="B2:B33" si="0">MID(A2,6,4)</f>
        <v>2005</v>
      </c>
      <c r="C2" s="62">
        <v>14615</v>
      </c>
      <c r="D2" s="63">
        <v>2005</v>
      </c>
      <c r="E2" s="64">
        <v>1</v>
      </c>
      <c r="H2" s="113" t="s">
        <v>242</v>
      </c>
      <c r="I2" s="114"/>
      <c r="J2" s="114"/>
      <c r="K2" s="114"/>
      <c r="L2" s="114"/>
      <c r="M2" s="115"/>
    </row>
    <row r="3" spans="1:13" x14ac:dyDescent="0.35">
      <c r="A3" s="60" t="s">
        <v>1</v>
      </c>
      <c r="B3" s="61" t="str">
        <f t="shared" si="0"/>
        <v>2005</v>
      </c>
      <c r="C3" s="62">
        <v>14846</v>
      </c>
      <c r="D3" s="63">
        <v>2005</v>
      </c>
      <c r="E3" s="64">
        <v>2</v>
      </c>
    </row>
    <row r="4" spans="1:13" x14ac:dyDescent="0.35">
      <c r="A4" s="60" t="s">
        <v>2</v>
      </c>
      <c r="B4" s="61" t="str">
        <f t="shared" si="0"/>
        <v>2005</v>
      </c>
      <c r="C4" s="62">
        <v>14885</v>
      </c>
      <c r="D4" s="63">
        <v>2005</v>
      </c>
      <c r="E4" s="64">
        <v>3</v>
      </c>
    </row>
    <row r="5" spans="1:13" x14ac:dyDescent="0.35">
      <c r="A5" s="60" t="s">
        <v>3</v>
      </c>
      <c r="B5" s="61" t="str">
        <f t="shared" si="0"/>
        <v>2005</v>
      </c>
      <c r="C5" s="62">
        <v>17103</v>
      </c>
      <c r="D5" s="63">
        <v>2005</v>
      </c>
      <c r="E5" s="64">
        <v>4</v>
      </c>
    </row>
    <row r="6" spans="1:13" x14ac:dyDescent="0.35">
      <c r="A6" s="60" t="s">
        <v>5</v>
      </c>
      <c r="B6" s="61" t="str">
        <f t="shared" si="0"/>
        <v>2006</v>
      </c>
      <c r="C6" s="62">
        <v>15257</v>
      </c>
      <c r="D6" s="63">
        <v>2006</v>
      </c>
      <c r="E6" s="64">
        <v>5</v>
      </c>
    </row>
    <row r="7" spans="1:13" x14ac:dyDescent="0.35">
      <c r="A7" s="60" t="s">
        <v>6</v>
      </c>
      <c r="B7" s="61" t="str">
        <f t="shared" si="0"/>
        <v>2006</v>
      </c>
      <c r="C7" s="62">
        <v>14681</v>
      </c>
      <c r="D7" s="63">
        <v>2006</v>
      </c>
      <c r="E7" s="64">
        <v>6</v>
      </c>
    </row>
    <row r="8" spans="1:13" x14ac:dyDescent="0.35">
      <c r="A8" s="60" t="s">
        <v>7</v>
      </c>
      <c r="B8" s="61" t="str">
        <f t="shared" si="0"/>
        <v>2006</v>
      </c>
      <c r="C8" s="62">
        <v>16174</v>
      </c>
      <c r="D8" s="63">
        <v>2006</v>
      </c>
      <c r="E8" s="64">
        <v>7</v>
      </c>
    </row>
    <row r="9" spans="1:13" x14ac:dyDescent="0.35">
      <c r="A9" s="60" t="s">
        <v>8</v>
      </c>
      <c r="B9" s="61" t="str">
        <f t="shared" si="0"/>
        <v>2006</v>
      </c>
      <c r="C9" s="62">
        <v>15225</v>
      </c>
      <c r="D9" s="63">
        <v>2006</v>
      </c>
      <c r="E9" s="64">
        <v>8</v>
      </c>
    </row>
    <row r="10" spans="1:13" x14ac:dyDescent="0.35">
      <c r="A10" s="60" t="s">
        <v>177</v>
      </c>
      <c r="B10" s="61" t="str">
        <f t="shared" si="0"/>
        <v>2006</v>
      </c>
      <c r="C10" s="62">
        <v>16271</v>
      </c>
      <c r="D10" s="63">
        <v>2006</v>
      </c>
      <c r="E10" s="64">
        <v>9</v>
      </c>
    </row>
    <row r="11" spans="1:13" x14ac:dyDescent="0.35">
      <c r="A11" s="60" t="s">
        <v>9</v>
      </c>
      <c r="B11" s="61" t="str">
        <f t="shared" si="0"/>
        <v>2006</v>
      </c>
      <c r="C11" s="62">
        <v>15720</v>
      </c>
      <c r="D11" s="63">
        <v>2006</v>
      </c>
      <c r="E11" s="64">
        <v>10</v>
      </c>
    </row>
    <row r="12" spans="1:13" x14ac:dyDescent="0.35">
      <c r="A12" s="60" t="s">
        <v>10</v>
      </c>
      <c r="B12" s="61" t="str">
        <f t="shared" si="0"/>
        <v>2006</v>
      </c>
      <c r="C12" s="62">
        <v>15426</v>
      </c>
      <c r="D12" s="63">
        <v>2006</v>
      </c>
      <c r="E12" s="64">
        <v>11</v>
      </c>
    </row>
    <row r="13" spans="1:13" x14ac:dyDescent="0.35">
      <c r="A13" s="60" t="s">
        <v>11</v>
      </c>
      <c r="B13" s="61" t="str">
        <f t="shared" si="0"/>
        <v>2006</v>
      </c>
      <c r="C13" s="62">
        <v>16092</v>
      </c>
      <c r="D13" s="63">
        <v>2006</v>
      </c>
      <c r="E13" s="64">
        <v>12</v>
      </c>
    </row>
    <row r="14" spans="1:13" x14ac:dyDescent="0.35">
      <c r="A14" s="60" t="s">
        <v>12</v>
      </c>
      <c r="B14" s="61" t="str">
        <f t="shared" si="0"/>
        <v>2006</v>
      </c>
      <c r="C14" s="62">
        <v>15483</v>
      </c>
      <c r="D14" s="63">
        <v>2006</v>
      </c>
      <c r="E14" s="64">
        <v>13</v>
      </c>
    </row>
    <row r="15" spans="1:13" x14ac:dyDescent="0.35">
      <c r="A15" s="60" t="s">
        <v>13</v>
      </c>
      <c r="B15" s="61" t="str">
        <f t="shared" si="0"/>
        <v>2006</v>
      </c>
      <c r="C15" s="62">
        <v>16382</v>
      </c>
      <c r="D15" s="63">
        <v>2006</v>
      </c>
      <c r="E15" s="64">
        <v>14</v>
      </c>
    </row>
    <row r="16" spans="1:13" x14ac:dyDescent="0.35">
      <c r="A16" s="60" t="s">
        <v>14</v>
      </c>
      <c r="B16" s="61" t="str">
        <f t="shared" si="0"/>
        <v>2006</v>
      </c>
      <c r="C16" s="62">
        <v>16252</v>
      </c>
      <c r="D16" s="63">
        <v>2006</v>
      </c>
      <c r="E16" s="64">
        <v>15</v>
      </c>
    </row>
    <row r="17" spans="1:5" x14ac:dyDescent="0.35">
      <c r="A17" s="60" t="s">
        <v>15</v>
      </c>
      <c r="B17" s="61" t="str">
        <f t="shared" si="0"/>
        <v>2006</v>
      </c>
      <c r="C17" s="62">
        <v>18055</v>
      </c>
      <c r="D17" s="63">
        <v>2006</v>
      </c>
      <c r="E17" s="64">
        <v>16</v>
      </c>
    </row>
    <row r="18" spans="1:5" x14ac:dyDescent="0.35">
      <c r="A18" s="60" t="s">
        <v>16</v>
      </c>
      <c r="B18" s="61" t="str">
        <f t="shared" si="0"/>
        <v>2007</v>
      </c>
      <c r="C18" s="62">
        <v>16985</v>
      </c>
      <c r="D18" s="63">
        <v>2007</v>
      </c>
      <c r="E18" s="64">
        <v>17</v>
      </c>
    </row>
    <row r="19" spans="1:5" x14ac:dyDescent="0.35">
      <c r="A19" s="60" t="s">
        <v>17</v>
      </c>
      <c r="B19" s="61" t="str">
        <f t="shared" si="0"/>
        <v>2007</v>
      </c>
      <c r="C19" s="62">
        <v>15822</v>
      </c>
      <c r="D19" s="63">
        <v>2007</v>
      </c>
      <c r="E19" s="64">
        <v>18</v>
      </c>
    </row>
    <row r="20" spans="1:5" x14ac:dyDescent="0.35">
      <c r="A20" s="60" t="s">
        <v>18</v>
      </c>
      <c r="B20" s="61" t="str">
        <f t="shared" si="0"/>
        <v>2007</v>
      </c>
      <c r="C20" s="62">
        <v>17258</v>
      </c>
      <c r="D20" s="63">
        <v>2007</v>
      </c>
      <c r="E20" s="64">
        <v>19</v>
      </c>
    </row>
    <row r="21" spans="1:5" x14ac:dyDescent="0.35">
      <c r="A21" s="60" t="s">
        <v>19</v>
      </c>
      <c r="B21" s="61" t="str">
        <f t="shared" si="0"/>
        <v>2007</v>
      </c>
      <c r="C21" s="62">
        <v>16532</v>
      </c>
      <c r="D21" s="63">
        <v>2007</v>
      </c>
      <c r="E21" s="64">
        <v>20</v>
      </c>
    </row>
    <row r="22" spans="1:5" x14ac:dyDescent="0.35">
      <c r="A22" s="60" t="s">
        <v>178</v>
      </c>
      <c r="B22" s="61" t="str">
        <f t="shared" si="0"/>
        <v>2007</v>
      </c>
      <c r="C22" s="62">
        <v>17279</v>
      </c>
      <c r="D22" s="63">
        <v>2007</v>
      </c>
      <c r="E22" s="64">
        <v>21</v>
      </c>
    </row>
    <row r="23" spans="1:5" x14ac:dyDescent="0.35">
      <c r="A23" s="60" t="s">
        <v>20</v>
      </c>
      <c r="B23" s="61" t="str">
        <f t="shared" si="0"/>
        <v>2007</v>
      </c>
      <c r="C23" s="62">
        <v>16497</v>
      </c>
      <c r="D23" s="63">
        <v>2007</v>
      </c>
      <c r="E23" s="64">
        <v>22</v>
      </c>
    </row>
    <row r="24" spans="1:5" x14ac:dyDescent="0.35">
      <c r="A24" s="60" t="s">
        <v>21</v>
      </c>
      <c r="B24" s="61" t="str">
        <f t="shared" si="0"/>
        <v>2007</v>
      </c>
      <c r="C24" s="62">
        <v>16542</v>
      </c>
      <c r="D24" s="63">
        <v>2007</v>
      </c>
      <c r="E24" s="64">
        <v>23</v>
      </c>
    </row>
    <row r="25" spans="1:5" x14ac:dyDescent="0.35">
      <c r="A25" s="60" t="s">
        <v>22</v>
      </c>
      <c r="B25" s="61" t="str">
        <f t="shared" si="0"/>
        <v>2007</v>
      </c>
      <c r="C25" s="62">
        <v>16992</v>
      </c>
      <c r="D25" s="63">
        <v>2007</v>
      </c>
      <c r="E25" s="64">
        <v>24</v>
      </c>
    </row>
    <row r="26" spans="1:5" x14ac:dyDescent="0.35">
      <c r="A26" s="60" t="s">
        <v>23</v>
      </c>
      <c r="B26" s="61" t="str">
        <f t="shared" si="0"/>
        <v>2007</v>
      </c>
      <c r="C26" s="62">
        <v>15966</v>
      </c>
      <c r="D26" s="63">
        <v>2007</v>
      </c>
      <c r="E26" s="64">
        <v>25</v>
      </c>
    </row>
    <row r="27" spans="1:5" x14ac:dyDescent="0.35">
      <c r="A27" s="60" t="s">
        <v>24</v>
      </c>
      <c r="B27" s="61" t="str">
        <f t="shared" si="0"/>
        <v>2007</v>
      </c>
      <c r="C27" s="62">
        <v>17264</v>
      </c>
      <c r="D27" s="63">
        <v>2007</v>
      </c>
      <c r="E27" s="64">
        <v>26</v>
      </c>
    </row>
    <row r="28" spans="1:5" x14ac:dyDescent="0.35">
      <c r="A28" s="60" t="s">
        <v>25</v>
      </c>
      <c r="B28" s="61" t="str">
        <f t="shared" si="0"/>
        <v>2007</v>
      </c>
      <c r="C28" s="62">
        <v>16713</v>
      </c>
      <c r="D28" s="63">
        <v>2007</v>
      </c>
      <c r="E28" s="64">
        <v>27</v>
      </c>
    </row>
    <row r="29" spans="1:5" x14ac:dyDescent="0.35">
      <c r="A29" s="60" t="s">
        <v>26</v>
      </c>
      <c r="B29" s="61" t="str">
        <f t="shared" si="0"/>
        <v>2007</v>
      </c>
      <c r="C29" s="62">
        <v>18434</v>
      </c>
      <c r="D29" s="63">
        <v>2007</v>
      </c>
      <c r="E29" s="64">
        <v>28</v>
      </c>
    </row>
    <row r="30" spans="1:5" x14ac:dyDescent="0.35">
      <c r="A30" s="60" t="s">
        <v>27</v>
      </c>
      <c r="B30" s="61" t="str">
        <f t="shared" si="0"/>
        <v>2008</v>
      </c>
      <c r="C30" s="62">
        <v>17449</v>
      </c>
      <c r="D30" s="63">
        <v>2008</v>
      </c>
      <c r="E30" s="64">
        <v>29</v>
      </c>
    </row>
    <row r="31" spans="1:5" x14ac:dyDescent="0.35">
      <c r="A31" s="60" t="s">
        <v>28</v>
      </c>
      <c r="B31" s="61" t="str">
        <f t="shared" si="0"/>
        <v>2008</v>
      </c>
      <c r="C31" s="62">
        <v>17201</v>
      </c>
      <c r="D31" s="63">
        <v>2008</v>
      </c>
      <c r="E31" s="64">
        <v>30</v>
      </c>
    </row>
    <row r="32" spans="1:5" x14ac:dyDescent="0.35">
      <c r="A32" s="60" t="s">
        <v>29</v>
      </c>
      <c r="B32" s="61" t="str">
        <f t="shared" si="0"/>
        <v>2008</v>
      </c>
      <c r="C32" s="62">
        <v>17719</v>
      </c>
      <c r="D32" s="63">
        <v>2008</v>
      </c>
      <c r="E32" s="64">
        <v>31</v>
      </c>
    </row>
    <row r="33" spans="1:5" x14ac:dyDescent="0.35">
      <c r="A33" s="60" t="s">
        <v>30</v>
      </c>
      <c r="B33" s="61" t="str">
        <f t="shared" si="0"/>
        <v>2008</v>
      </c>
      <c r="C33" s="62">
        <v>17143</v>
      </c>
      <c r="D33" s="63">
        <v>2008</v>
      </c>
      <c r="E33" s="64">
        <v>32</v>
      </c>
    </row>
    <row r="34" spans="1:5" x14ac:dyDescent="0.35">
      <c r="A34" s="60" t="s">
        <v>179</v>
      </c>
      <c r="B34" s="61" t="str">
        <f t="shared" ref="B34:B65" si="1">MID(A34,6,4)</f>
        <v>2008</v>
      </c>
      <c r="C34" s="62">
        <v>17871</v>
      </c>
      <c r="D34" s="63">
        <v>2008</v>
      </c>
      <c r="E34" s="64">
        <v>33</v>
      </c>
    </row>
    <row r="35" spans="1:5" x14ac:dyDescent="0.35">
      <c r="A35" s="60" t="s">
        <v>31</v>
      </c>
      <c r="B35" s="61" t="str">
        <f t="shared" si="1"/>
        <v>2008</v>
      </c>
      <c r="C35" s="62">
        <v>17038</v>
      </c>
      <c r="D35" s="63">
        <v>2008</v>
      </c>
      <c r="E35" s="64">
        <v>34</v>
      </c>
    </row>
    <row r="36" spans="1:5" x14ac:dyDescent="0.35">
      <c r="A36" s="60" t="s">
        <v>32</v>
      </c>
      <c r="B36" s="61" t="str">
        <f t="shared" si="1"/>
        <v>2008</v>
      </c>
      <c r="C36" s="62">
        <v>17413</v>
      </c>
      <c r="D36" s="63">
        <v>2008</v>
      </c>
      <c r="E36" s="64">
        <v>35</v>
      </c>
    </row>
    <row r="37" spans="1:5" x14ac:dyDescent="0.35">
      <c r="A37" s="60" t="s">
        <v>33</v>
      </c>
      <c r="B37" s="61" t="str">
        <f t="shared" si="1"/>
        <v>2008</v>
      </c>
      <c r="C37" s="62">
        <v>17200</v>
      </c>
      <c r="D37" s="63">
        <v>2008</v>
      </c>
      <c r="E37" s="64">
        <v>36</v>
      </c>
    </row>
    <row r="38" spans="1:5" x14ac:dyDescent="0.35">
      <c r="A38" s="60" t="s">
        <v>34</v>
      </c>
      <c r="B38" s="61" t="str">
        <f t="shared" si="1"/>
        <v>2008</v>
      </c>
      <c r="C38" s="62">
        <v>17176</v>
      </c>
      <c r="D38" s="63">
        <v>2008</v>
      </c>
      <c r="E38" s="64">
        <v>37</v>
      </c>
    </row>
    <row r="39" spans="1:5" x14ac:dyDescent="0.35">
      <c r="A39" s="60" t="s">
        <v>35</v>
      </c>
      <c r="B39" s="61" t="str">
        <f t="shared" si="1"/>
        <v>2008</v>
      </c>
      <c r="C39" s="62">
        <v>18019</v>
      </c>
      <c r="D39" s="63">
        <v>2008</v>
      </c>
      <c r="E39" s="64">
        <v>38</v>
      </c>
    </row>
    <row r="40" spans="1:5" x14ac:dyDescent="0.35">
      <c r="A40" s="60" t="s">
        <v>36</v>
      </c>
      <c r="B40" s="61" t="str">
        <f t="shared" si="1"/>
        <v>2008</v>
      </c>
      <c r="C40" s="62">
        <v>16975</v>
      </c>
      <c r="D40" s="63">
        <v>2008</v>
      </c>
      <c r="E40" s="64">
        <v>39</v>
      </c>
    </row>
    <row r="41" spans="1:5" x14ac:dyDescent="0.35">
      <c r="A41" s="60" t="s">
        <v>37</v>
      </c>
      <c r="B41" s="61" t="str">
        <f t="shared" si="1"/>
        <v>2008</v>
      </c>
      <c r="C41" s="62">
        <v>19653</v>
      </c>
      <c r="D41" s="63">
        <v>2008</v>
      </c>
      <c r="E41" s="64">
        <v>40</v>
      </c>
    </row>
    <row r="42" spans="1:5" x14ac:dyDescent="0.35">
      <c r="A42" s="60" t="s">
        <v>38</v>
      </c>
      <c r="B42" s="61" t="str">
        <f t="shared" si="1"/>
        <v>2009</v>
      </c>
      <c r="C42" s="62">
        <v>17741</v>
      </c>
      <c r="D42" s="63">
        <v>2009</v>
      </c>
      <c r="E42" s="64">
        <v>41</v>
      </c>
    </row>
    <row r="43" spans="1:5" x14ac:dyDescent="0.35">
      <c r="A43" s="60" t="s">
        <v>39</v>
      </c>
      <c r="B43" s="61" t="str">
        <f t="shared" si="1"/>
        <v>2009</v>
      </c>
      <c r="C43" s="62">
        <v>17028</v>
      </c>
      <c r="D43" s="63">
        <v>2009</v>
      </c>
      <c r="E43" s="64">
        <v>42</v>
      </c>
    </row>
    <row r="44" spans="1:5" x14ac:dyDescent="0.35">
      <c r="A44" s="60" t="s">
        <v>40</v>
      </c>
      <c r="B44" s="61" t="str">
        <f t="shared" si="1"/>
        <v>2009</v>
      </c>
      <c r="C44" s="62">
        <v>18501</v>
      </c>
      <c r="D44" s="63">
        <v>2009</v>
      </c>
      <c r="E44" s="64">
        <v>43</v>
      </c>
    </row>
    <row r="45" spans="1:5" x14ac:dyDescent="0.35">
      <c r="A45" s="60" t="s">
        <v>41</v>
      </c>
      <c r="B45" s="61" t="str">
        <f t="shared" si="1"/>
        <v>2009</v>
      </c>
      <c r="C45" s="62">
        <v>18226</v>
      </c>
      <c r="D45" s="63">
        <v>2009</v>
      </c>
      <c r="E45" s="64">
        <v>44</v>
      </c>
    </row>
    <row r="46" spans="1:5" x14ac:dyDescent="0.35">
      <c r="A46" s="60" t="s">
        <v>180</v>
      </c>
      <c r="B46" s="61" t="str">
        <f t="shared" si="1"/>
        <v>2009</v>
      </c>
      <c r="C46" s="62">
        <v>18146</v>
      </c>
      <c r="D46" s="63">
        <v>2009</v>
      </c>
      <c r="E46" s="64">
        <v>45</v>
      </c>
    </row>
    <row r="47" spans="1:5" x14ac:dyDescent="0.35">
      <c r="A47" s="60" t="s">
        <v>42</v>
      </c>
      <c r="B47" s="61" t="str">
        <f t="shared" si="1"/>
        <v>2009</v>
      </c>
      <c r="C47" s="62">
        <v>17944</v>
      </c>
      <c r="D47" s="63">
        <v>2009</v>
      </c>
      <c r="E47" s="64">
        <v>46</v>
      </c>
    </row>
    <row r="48" spans="1:5" x14ac:dyDescent="0.35">
      <c r="A48" s="60" t="s">
        <v>43</v>
      </c>
      <c r="B48" s="61" t="str">
        <f t="shared" si="1"/>
        <v>2009</v>
      </c>
      <c r="C48" s="62">
        <v>17957</v>
      </c>
      <c r="D48" s="63">
        <v>2009</v>
      </c>
      <c r="E48" s="64">
        <v>47</v>
      </c>
    </row>
    <row r="49" spans="1:5" x14ac:dyDescent="0.35">
      <c r="A49" s="60" t="s">
        <v>44</v>
      </c>
      <c r="B49" s="61" t="str">
        <f t="shared" si="1"/>
        <v>2009</v>
      </c>
      <c r="C49" s="62">
        <v>17604</v>
      </c>
      <c r="D49" s="63">
        <v>2009</v>
      </c>
      <c r="E49" s="64">
        <v>48</v>
      </c>
    </row>
    <row r="50" spans="1:5" x14ac:dyDescent="0.35">
      <c r="A50" s="60" t="s">
        <v>45</v>
      </c>
      <c r="B50" s="61" t="str">
        <f t="shared" si="1"/>
        <v>2009</v>
      </c>
      <c r="C50" s="62">
        <v>17770</v>
      </c>
      <c r="D50" s="63">
        <v>2009</v>
      </c>
      <c r="E50" s="64">
        <v>49</v>
      </c>
    </row>
    <row r="51" spans="1:5" x14ac:dyDescent="0.35">
      <c r="A51" s="60" t="s">
        <v>46</v>
      </c>
      <c r="B51" s="61" t="str">
        <f t="shared" si="1"/>
        <v>2009</v>
      </c>
      <c r="C51" s="62">
        <v>18492</v>
      </c>
      <c r="D51" s="63">
        <v>2009</v>
      </c>
      <c r="E51" s="64">
        <v>50</v>
      </c>
    </row>
    <row r="52" spans="1:5" x14ac:dyDescent="0.35">
      <c r="A52" s="60" t="s">
        <v>47</v>
      </c>
      <c r="B52" s="61" t="str">
        <f t="shared" si="1"/>
        <v>2009</v>
      </c>
      <c r="C52" s="62">
        <v>17784</v>
      </c>
      <c r="D52" s="63">
        <v>2009</v>
      </c>
      <c r="E52" s="64">
        <v>51</v>
      </c>
    </row>
    <row r="53" spans="1:5" x14ac:dyDescent="0.35">
      <c r="A53" s="60" t="s">
        <v>48</v>
      </c>
      <c r="B53" s="61" t="str">
        <f t="shared" si="1"/>
        <v>2009</v>
      </c>
      <c r="C53" s="62">
        <v>20067</v>
      </c>
      <c r="D53" s="63">
        <v>2009</v>
      </c>
      <c r="E53" s="64">
        <v>52</v>
      </c>
    </row>
    <row r="54" spans="1:5" x14ac:dyDescent="0.35">
      <c r="A54" s="65" t="s">
        <v>49</v>
      </c>
      <c r="B54" s="61" t="str">
        <f t="shared" si="1"/>
        <v>2010</v>
      </c>
      <c r="C54" s="66">
        <v>17874</v>
      </c>
      <c r="D54" s="63">
        <v>2010</v>
      </c>
      <c r="E54" s="64">
        <v>53</v>
      </c>
    </row>
    <row r="55" spans="1:5" x14ac:dyDescent="0.35">
      <c r="A55" s="65" t="s">
        <v>50</v>
      </c>
      <c r="B55" s="61" t="str">
        <f t="shared" si="1"/>
        <v>2010</v>
      </c>
      <c r="C55" s="66">
        <v>17171</v>
      </c>
      <c r="D55" s="63">
        <v>2010</v>
      </c>
      <c r="E55" s="64">
        <v>54</v>
      </c>
    </row>
    <row r="56" spans="1:5" x14ac:dyDescent="0.35">
      <c r="A56" s="65" t="s">
        <v>51</v>
      </c>
      <c r="B56" s="61" t="str">
        <f t="shared" si="1"/>
        <v>2010</v>
      </c>
      <c r="C56" s="66">
        <v>19214</v>
      </c>
      <c r="D56" s="63">
        <v>2010</v>
      </c>
      <c r="E56" s="64">
        <v>55</v>
      </c>
    </row>
    <row r="57" spans="1:5" x14ac:dyDescent="0.35">
      <c r="A57" s="65" t="s">
        <v>52</v>
      </c>
      <c r="B57" s="61" t="str">
        <f t="shared" si="1"/>
        <v>2010</v>
      </c>
      <c r="C57" s="66">
        <v>18340</v>
      </c>
      <c r="D57" s="63">
        <v>2010</v>
      </c>
      <c r="E57" s="64">
        <v>56</v>
      </c>
    </row>
    <row r="58" spans="1:5" x14ac:dyDescent="0.35">
      <c r="A58" s="67" t="s">
        <v>181</v>
      </c>
      <c r="B58" s="61" t="str">
        <f t="shared" si="1"/>
        <v>2010</v>
      </c>
      <c r="C58" s="66">
        <v>18295</v>
      </c>
      <c r="D58" s="63">
        <v>2010</v>
      </c>
      <c r="E58" s="64">
        <v>57</v>
      </c>
    </row>
    <row r="59" spans="1:5" x14ac:dyDescent="0.35">
      <c r="A59" s="65" t="s">
        <v>53</v>
      </c>
      <c r="B59" s="61" t="str">
        <f t="shared" si="1"/>
        <v>2010</v>
      </c>
      <c r="C59" s="66">
        <v>18372</v>
      </c>
      <c r="D59" s="63">
        <v>2010</v>
      </c>
      <c r="E59" s="64">
        <v>58</v>
      </c>
    </row>
    <row r="60" spans="1:5" x14ac:dyDescent="0.35">
      <c r="A60" s="65" t="s">
        <v>54</v>
      </c>
      <c r="B60" s="61" t="str">
        <f t="shared" si="1"/>
        <v>2010</v>
      </c>
      <c r="C60" s="66">
        <v>18170</v>
      </c>
      <c r="D60" s="63">
        <v>2010</v>
      </c>
      <c r="E60" s="64">
        <v>59</v>
      </c>
    </row>
    <row r="61" spans="1:5" x14ac:dyDescent="0.35">
      <c r="A61" s="65" t="s">
        <v>55</v>
      </c>
      <c r="B61" s="61" t="str">
        <f t="shared" si="1"/>
        <v>2010</v>
      </c>
      <c r="C61" s="66">
        <v>18328</v>
      </c>
      <c r="D61" s="63">
        <v>2010</v>
      </c>
      <c r="E61" s="64">
        <v>60</v>
      </c>
    </row>
    <row r="62" spans="1:5" x14ac:dyDescent="0.35">
      <c r="A62" s="65" t="s">
        <v>56</v>
      </c>
      <c r="B62" s="61" t="str">
        <f t="shared" si="1"/>
        <v>2010</v>
      </c>
      <c r="C62" s="66">
        <v>18124</v>
      </c>
      <c r="D62" s="63">
        <v>2010</v>
      </c>
      <c r="E62" s="64">
        <v>61</v>
      </c>
    </row>
    <row r="63" spans="1:5" x14ac:dyDescent="0.35">
      <c r="A63" s="65" t="s">
        <v>57</v>
      </c>
      <c r="B63" s="61" t="str">
        <f t="shared" si="1"/>
        <v>2010</v>
      </c>
      <c r="C63" s="66">
        <v>18611</v>
      </c>
      <c r="D63" s="63">
        <v>2010</v>
      </c>
      <c r="E63" s="64">
        <v>62</v>
      </c>
    </row>
    <row r="64" spans="1:5" x14ac:dyDescent="0.35">
      <c r="A64" s="65" t="s">
        <v>58</v>
      </c>
      <c r="B64" s="61" t="str">
        <f t="shared" si="1"/>
        <v>2010</v>
      </c>
      <c r="C64" s="66">
        <v>18724</v>
      </c>
      <c r="D64" s="63">
        <v>2010</v>
      </c>
      <c r="E64" s="64">
        <v>63</v>
      </c>
    </row>
    <row r="65" spans="1:5" x14ac:dyDescent="0.35">
      <c r="A65" s="65" t="s">
        <v>59</v>
      </c>
      <c r="B65" s="61" t="str">
        <f t="shared" si="1"/>
        <v>2010</v>
      </c>
      <c r="C65" s="66">
        <v>21007</v>
      </c>
      <c r="D65" s="63">
        <v>2010</v>
      </c>
      <c r="E65" s="64">
        <v>64</v>
      </c>
    </row>
    <row r="66" spans="1:5" x14ac:dyDescent="0.35">
      <c r="A66" s="65" t="s">
        <v>60</v>
      </c>
      <c r="B66" s="61" t="str">
        <f t="shared" ref="B66:B97" si="2">MID(A66,6,4)</f>
        <v>2011</v>
      </c>
      <c r="C66" s="66">
        <v>19155</v>
      </c>
      <c r="D66" s="63">
        <v>2011</v>
      </c>
      <c r="E66" s="64">
        <v>65</v>
      </c>
    </row>
    <row r="67" spans="1:5" x14ac:dyDescent="0.35">
      <c r="A67" s="65" t="s">
        <v>61</v>
      </c>
      <c r="B67" s="61" t="str">
        <f t="shared" si="2"/>
        <v>2011</v>
      </c>
      <c r="C67" s="66">
        <v>18117</v>
      </c>
      <c r="D67" s="63">
        <v>2011</v>
      </c>
      <c r="E67" s="64">
        <v>66</v>
      </c>
    </row>
    <row r="68" spans="1:5" x14ac:dyDescent="0.35">
      <c r="A68" s="65" t="s">
        <v>62</v>
      </c>
      <c r="B68" s="61" t="str">
        <f t="shared" si="2"/>
        <v>2011</v>
      </c>
      <c r="C68" s="66">
        <v>20042</v>
      </c>
      <c r="D68" s="63">
        <v>2011</v>
      </c>
      <c r="E68" s="64">
        <v>67</v>
      </c>
    </row>
    <row r="69" spans="1:5" x14ac:dyDescent="0.35">
      <c r="A69" s="65" t="s">
        <v>63</v>
      </c>
      <c r="B69" s="61" t="str">
        <f t="shared" si="2"/>
        <v>2011</v>
      </c>
      <c r="C69" s="66">
        <v>18944</v>
      </c>
      <c r="D69" s="63">
        <v>2011</v>
      </c>
      <c r="E69" s="64">
        <v>68</v>
      </c>
    </row>
    <row r="70" spans="1:5" x14ac:dyDescent="0.35">
      <c r="A70" s="67" t="s">
        <v>182</v>
      </c>
      <c r="B70" s="61" t="str">
        <f t="shared" si="2"/>
        <v>2011</v>
      </c>
      <c r="C70" s="66">
        <v>19505</v>
      </c>
      <c r="D70" s="63">
        <v>2011</v>
      </c>
      <c r="E70" s="64">
        <v>69</v>
      </c>
    </row>
    <row r="71" spans="1:5" x14ac:dyDescent="0.35">
      <c r="A71" s="65" t="s">
        <v>64</v>
      </c>
      <c r="B71" s="61" t="str">
        <f t="shared" si="2"/>
        <v>2011</v>
      </c>
      <c r="C71" s="66">
        <v>19081</v>
      </c>
      <c r="D71" s="63">
        <v>2011</v>
      </c>
      <c r="E71" s="64">
        <v>70</v>
      </c>
    </row>
    <row r="72" spans="1:5" x14ac:dyDescent="0.35">
      <c r="A72" s="65" t="s">
        <v>65</v>
      </c>
      <c r="B72" s="61" t="str">
        <f t="shared" si="2"/>
        <v>2011</v>
      </c>
      <c r="C72" s="66">
        <v>18541</v>
      </c>
      <c r="D72" s="63">
        <v>2011</v>
      </c>
      <c r="E72" s="64">
        <v>71</v>
      </c>
    </row>
    <row r="73" spans="1:5" x14ac:dyDescent="0.35">
      <c r="A73" s="65" t="s">
        <v>66</v>
      </c>
      <c r="B73" s="61" t="str">
        <f t="shared" si="2"/>
        <v>2011</v>
      </c>
      <c r="C73" s="66">
        <v>19481</v>
      </c>
      <c r="D73" s="63">
        <v>2011</v>
      </c>
      <c r="E73" s="64">
        <v>72</v>
      </c>
    </row>
    <row r="74" spans="1:5" x14ac:dyDescent="0.35">
      <c r="A74" s="65" t="s">
        <v>67</v>
      </c>
      <c r="B74" s="61" t="str">
        <f t="shared" si="2"/>
        <v>2011</v>
      </c>
      <c r="C74" s="66">
        <v>18845</v>
      </c>
      <c r="D74" s="63">
        <v>2011</v>
      </c>
      <c r="E74" s="64">
        <v>73</v>
      </c>
    </row>
    <row r="75" spans="1:5" x14ac:dyDescent="0.35">
      <c r="A75" s="65" t="s">
        <v>68</v>
      </c>
      <c r="B75" s="61" t="str">
        <f t="shared" si="2"/>
        <v>2011</v>
      </c>
      <c r="C75" s="66">
        <v>19302</v>
      </c>
      <c r="D75" s="63">
        <v>2011</v>
      </c>
      <c r="E75" s="64">
        <v>74</v>
      </c>
    </row>
    <row r="76" spans="1:5" x14ac:dyDescent="0.35">
      <c r="A76" s="65" t="s">
        <v>69</v>
      </c>
      <c r="B76" s="61" t="str">
        <f t="shared" si="2"/>
        <v>2011</v>
      </c>
      <c r="C76" s="66">
        <v>19103</v>
      </c>
      <c r="D76" s="63">
        <v>2011</v>
      </c>
      <c r="E76" s="64">
        <v>75</v>
      </c>
    </row>
    <row r="77" spans="1:5" x14ac:dyDescent="0.35">
      <c r="A77" s="65" t="s">
        <v>70</v>
      </c>
      <c r="B77" s="61" t="str">
        <f t="shared" si="2"/>
        <v>2011</v>
      </c>
      <c r="C77" s="66">
        <v>21133</v>
      </c>
      <c r="D77" s="63">
        <v>2011</v>
      </c>
      <c r="E77" s="64">
        <v>76</v>
      </c>
    </row>
    <row r="78" spans="1:5" x14ac:dyDescent="0.35">
      <c r="A78" s="65" t="s">
        <v>71</v>
      </c>
      <c r="B78" s="61" t="str">
        <f t="shared" si="2"/>
        <v>2012</v>
      </c>
      <c r="C78" s="66">
        <v>19401</v>
      </c>
      <c r="D78" s="63">
        <v>2012</v>
      </c>
      <c r="E78" s="64">
        <v>77</v>
      </c>
    </row>
    <row r="79" spans="1:5" x14ac:dyDescent="0.35">
      <c r="A79" s="65" t="s">
        <v>72</v>
      </c>
      <c r="B79" s="61" t="str">
        <f t="shared" si="2"/>
        <v>2012</v>
      </c>
      <c r="C79" s="66">
        <v>19056</v>
      </c>
      <c r="D79" s="63">
        <v>2012</v>
      </c>
      <c r="E79" s="64">
        <v>78</v>
      </c>
    </row>
    <row r="80" spans="1:5" x14ac:dyDescent="0.35">
      <c r="A80" s="65" t="s">
        <v>73</v>
      </c>
      <c r="B80" s="61" t="str">
        <f t="shared" si="2"/>
        <v>2012</v>
      </c>
      <c r="C80" s="66">
        <v>19943</v>
      </c>
      <c r="D80" s="63">
        <v>2012</v>
      </c>
      <c r="E80" s="64">
        <v>79</v>
      </c>
    </row>
    <row r="81" spans="1:5" x14ac:dyDescent="0.35">
      <c r="A81" s="65" t="s">
        <v>74</v>
      </c>
      <c r="B81" s="61" t="str">
        <f t="shared" si="2"/>
        <v>2012</v>
      </c>
      <c r="C81" s="66">
        <v>19050</v>
      </c>
      <c r="D81" s="63">
        <v>2012</v>
      </c>
      <c r="E81" s="64">
        <v>80</v>
      </c>
    </row>
    <row r="82" spans="1:5" x14ac:dyDescent="0.35">
      <c r="A82" s="67" t="s">
        <v>183</v>
      </c>
      <c r="B82" s="61" t="str">
        <f t="shared" si="2"/>
        <v>2012</v>
      </c>
      <c r="C82" s="66">
        <v>19701</v>
      </c>
      <c r="D82" s="63">
        <v>2012</v>
      </c>
      <c r="E82" s="64">
        <v>81</v>
      </c>
    </row>
    <row r="83" spans="1:5" x14ac:dyDescent="0.35">
      <c r="A83" s="65" t="s">
        <v>75</v>
      </c>
      <c r="B83" s="61" t="str">
        <f t="shared" si="2"/>
        <v>2012</v>
      </c>
      <c r="C83" s="66">
        <v>18426</v>
      </c>
      <c r="D83" s="63">
        <v>2012</v>
      </c>
      <c r="E83" s="64">
        <v>82</v>
      </c>
    </row>
    <row r="84" spans="1:5" x14ac:dyDescent="0.35">
      <c r="A84" s="65" t="s">
        <v>76</v>
      </c>
      <c r="B84" s="61" t="str">
        <f t="shared" si="2"/>
        <v>2012</v>
      </c>
      <c r="C84" s="66">
        <v>18559</v>
      </c>
      <c r="D84" s="63">
        <v>2012</v>
      </c>
      <c r="E84" s="64">
        <v>83</v>
      </c>
    </row>
    <row r="85" spans="1:5" x14ac:dyDescent="0.35">
      <c r="A85" s="65" t="s">
        <v>77</v>
      </c>
      <c r="B85" s="61" t="str">
        <f t="shared" si="2"/>
        <v>2012</v>
      </c>
      <c r="C85" s="66">
        <v>19168</v>
      </c>
      <c r="D85" s="63">
        <v>2012</v>
      </c>
      <c r="E85" s="64">
        <v>84</v>
      </c>
    </row>
    <row r="86" spans="1:5" x14ac:dyDescent="0.35">
      <c r="A86" s="65" t="s">
        <v>78</v>
      </c>
      <c r="B86" s="61" t="str">
        <f t="shared" si="2"/>
        <v>2012</v>
      </c>
      <c r="C86" s="66">
        <v>17847</v>
      </c>
      <c r="D86" s="63">
        <v>2012</v>
      </c>
      <c r="E86" s="64">
        <v>85</v>
      </c>
    </row>
    <row r="87" spans="1:5" x14ac:dyDescent="0.35">
      <c r="A87" s="65" t="s">
        <v>79</v>
      </c>
      <c r="B87" s="61" t="str">
        <f t="shared" si="2"/>
        <v>2012</v>
      </c>
      <c r="C87" s="66">
        <v>19468</v>
      </c>
      <c r="D87" s="63">
        <v>2012</v>
      </c>
      <c r="E87" s="64">
        <v>86</v>
      </c>
    </row>
    <row r="88" spans="1:5" x14ac:dyDescent="0.35">
      <c r="A88" s="65" t="s">
        <v>80</v>
      </c>
      <c r="B88" s="61" t="str">
        <f t="shared" si="2"/>
        <v>2012</v>
      </c>
      <c r="C88" s="66">
        <v>18700</v>
      </c>
      <c r="D88" s="63">
        <v>2012</v>
      </c>
      <c r="E88" s="64">
        <v>87</v>
      </c>
    </row>
    <row r="89" spans="1:5" x14ac:dyDescent="0.35">
      <c r="A89" s="65" t="s">
        <v>81</v>
      </c>
      <c r="B89" s="61" t="str">
        <f t="shared" si="2"/>
        <v>2012</v>
      </c>
      <c r="C89" s="66">
        <v>20632</v>
      </c>
      <c r="D89" s="63">
        <v>2012</v>
      </c>
      <c r="E89" s="64">
        <v>88</v>
      </c>
    </row>
    <row r="90" spans="1:5" x14ac:dyDescent="0.35">
      <c r="A90" s="68" t="s">
        <v>82</v>
      </c>
      <c r="B90" s="61" t="str">
        <f t="shared" si="2"/>
        <v>2013</v>
      </c>
      <c r="C90" s="69">
        <v>19826</v>
      </c>
      <c r="D90" s="63">
        <v>2013</v>
      </c>
      <c r="E90" s="64">
        <v>89</v>
      </c>
    </row>
    <row r="91" spans="1:5" x14ac:dyDescent="0.35">
      <c r="A91" s="68" t="s">
        <v>83</v>
      </c>
      <c r="B91" s="61" t="str">
        <f t="shared" si="2"/>
        <v>2013</v>
      </c>
      <c r="C91" s="69">
        <v>18221</v>
      </c>
      <c r="D91" s="63">
        <v>2013</v>
      </c>
      <c r="E91" s="64">
        <v>90</v>
      </c>
    </row>
    <row r="92" spans="1:5" x14ac:dyDescent="0.35">
      <c r="A92" s="68" t="s">
        <v>84</v>
      </c>
      <c r="B92" s="61" t="str">
        <f t="shared" si="2"/>
        <v>2013</v>
      </c>
      <c r="C92" s="69">
        <v>19625</v>
      </c>
      <c r="D92" s="63">
        <v>2013</v>
      </c>
      <c r="E92" s="64">
        <v>91</v>
      </c>
    </row>
    <row r="93" spans="1:5" x14ac:dyDescent="0.35">
      <c r="A93" s="68" t="s">
        <v>85</v>
      </c>
      <c r="B93" s="61" t="str">
        <f t="shared" si="2"/>
        <v>2013</v>
      </c>
      <c r="C93" s="69">
        <v>19168</v>
      </c>
      <c r="D93" s="63">
        <v>2013</v>
      </c>
      <c r="E93" s="64">
        <v>92</v>
      </c>
    </row>
    <row r="94" spans="1:5" x14ac:dyDescent="0.35">
      <c r="A94" s="70" t="s">
        <v>86</v>
      </c>
      <c r="B94" s="61" t="str">
        <f t="shared" si="2"/>
        <v>2013</v>
      </c>
      <c r="C94" s="69">
        <v>19806</v>
      </c>
      <c r="D94" s="63">
        <v>2013</v>
      </c>
      <c r="E94" s="64">
        <v>93</v>
      </c>
    </row>
    <row r="95" spans="1:5" x14ac:dyDescent="0.35">
      <c r="A95" s="68" t="s">
        <v>87</v>
      </c>
      <c r="B95" s="61" t="str">
        <f t="shared" si="2"/>
        <v>2013</v>
      </c>
      <c r="C95" s="69">
        <v>18547</v>
      </c>
      <c r="D95" s="63">
        <v>2013</v>
      </c>
      <c r="E95" s="64">
        <v>94</v>
      </c>
    </row>
    <row r="96" spans="1:5" x14ac:dyDescent="0.35">
      <c r="A96" s="68" t="s">
        <v>88</v>
      </c>
      <c r="B96" s="61" t="str">
        <f t="shared" si="2"/>
        <v>2013</v>
      </c>
      <c r="C96" s="69">
        <v>19470</v>
      </c>
      <c r="D96" s="63">
        <v>2013</v>
      </c>
      <c r="E96" s="64">
        <v>95</v>
      </c>
    </row>
    <row r="97" spans="1:5" x14ac:dyDescent="0.35">
      <c r="A97" s="68" t="s">
        <v>89</v>
      </c>
      <c r="B97" s="61" t="str">
        <f t="shared" si="2"/>
        <v>2013</v>
      </c>
      <c r="C97" s="69">
        <v>19562</v>
      </c>
      <c r="D97" s="63">
        <v>2013</v>
      </c>
      <c r="E97" s="64">
        <v>96</v>
      </c>
    </row>
    <row r="98" spans="1:5" x14ac:dyDescent="0.35">
      <c r="A98" s="68" t="s">
        <v>90</v>
      </c>
      <c r="B98" s="61" t="str">
        <f t="shared" ref="B98:B129" si="3">MID(A98,6,4)</f>
        <v>2013</v>
      </c>
      <c r="C98" s="69">
        <v>19217</v>
      </c>
      <c r="D98" s="63">
        <v>2013</v>
      </c>
      <c r="E98" s="64">
        <v>97</v>
      </c>
    </row>
    <row r="99" spans="1:5" x14ac:dyDescent="0.35">
      <c r="A99" s="68" t="s">
        <v>91</v>
      </c>
      <c r="B99" s="61" t="str">
        <f t="shared" si="3"/>
        <v>2013</v>
      </c>
      <c r="C99" s="69">
        <v>20478</v>
      </c>
      <c r="D99" s="63">
        <v>2013</v>
      </c>
      <c r="E99" s="64">
        <v>98</v>
      </c>
    </row>
    <row r="100" spans="1:5" x14ac:dyDescent="0.35">
      <c r="A100" s="68" t="s">
        <v>92</v>
      </c>
      <c r="B100" s="61" t="str">
        <f t="shared" si="3"/>
        <v>2013</v>
      </c>
      <c r="C100" s="69">
        <v>19554</v>
      </c>
      <c r="D100" s="63">
        <v>2013</v>
      </c>
      <c r="E100" s="64">
        <v>99</v>
      </c>
    </row>
    <row r="101" spans="1:5" x14ac:dyDescent="0.35">
      <c r="A101" s="68" t="s">
        <v>93</v>
      </c>
      <c r="B101" s="61" t="str">
        <f t="shared" si="3"/>
        <v>2013</v>
      </c>
      <c r="C101" s="69">
        <v>22074</v>
      </c>
      <c r="D101" s="63">
        <v>2013</v>
      </c>
      <c r="E101" s="64">
        <v>100</v>
      </c>
    </row>
    <row r="102" spans="1:5" x14ac:dyDescent="0.35">
      <c r="A102" s="68" t="s">
        <v>94</v>
      </c>
      <c r="B102" s="61" t="str">
        <f t="shared" si="3"/>
        <v>2014</v>
      </c>
      <c r="C102" s="69">
        <v>20634</v>
      </c>
      <c r="D102" s="63">
        <v>2014</v>
      </c>
      <c r="E102" s="64">
        <v>101</v>
      </c>
    </row>
    <row r="103" spans="1:5" x14ac:dyDescent="0.35">
      <c r="A103" s="68" t="s">
        <v>95</v>
      </c>
      <c r="B103" s="61" t="str">
        <f t="shared" si="3"/>
        <v>2014</v>
      </c>
      <c r="C103" s="69">
        <v>19140</v>
      </c>
      <c r="D103" s="63">
        <v>2014</v>
      </c>
      <c r="E103" s="64">
        <v>102</v>
      </c>
    </row>
    <row r="104" spans="1:5" x14ac:dyDescent="0.35">
      <c r="A104" s="68" t="s">
        <v>96</v>
      </c>
      <c r="B104" s="61" t="str">
        <f t="shared" si="3"/>
        <v>2014</v>
      </c>
      <c r="C104" s="69">
        <v>20488</v>
      </c>
      <c r="D104" s="63">
        <v>2014</v>
      </c>
      <c r="E104" s="64">
        <v>103</v>
      </c>
    </row>
    <row r="105" spans="1:5" x14ac:dyDescent="0.35">
      <c r="A105" s="68" t="s">
        <v>97</v>
      </c>
      <c r="B105" s="61" t="str">
        <f t="shared" si="3"/>
        <v>2014</v>
      </c>
      <c r="C105" s="69">
        <v>20621</v>
      </c>
      <c r="D105" s="63">
        <v>2014</v>
      </c>
      <c r="E105" s="64">
        <v>104</v>
      </c>
    </row>
    <row r="106" spans="1:5" x14ac:dyDescent="0.35">
      <c r="A106" s="70" t="s">
        <v>98</v>
      </c>
      <c r="B106" s="61" t="str">
        <f t="shared" si="3"/>
        <v>2014</v>
      </c>
      <c r="C106" s="69">
        <v>21069</v>
      </c>
      <c r="D106" s="63">
        <v>2014</v>
      </c>
      <c r="E106" s="64">
        <v>105</v>
      </c>
    </row>
    <row r="107" spans="1:5" x14ac:dyDescent="0.35">
      <c r="A107" s="68" t="s">
        <v>99</v>
      </c>
      <c r="B107" s="61" t="str">
        <f t="shared" si="3"/>
        <v>2014</v>
      </c>
      <c r="C107" s="69">
        <v>20421</v>
      </c>
      <c r="D107" s="63">
        <v>2014</v>
      </c>
      <c r="E107" s="64">
        <v>106</v>
      </c>
    </row>
    <row r="108" spans="1:5" x14ac:dyDescent="0.35">
      <c r="A108" s="68" t="s">
        <v>100</v>
      </c>
      <c r="B108" s="61" t="str">
        <f t="shared" si="3"/>
        <v>2014</v>
      </c>
      <c r="C108" s="69">
        <v>20910</v>
      </c>
      <c r="D108" s="63">
        <v>2014</v>
      </c>
      <c r="E108" s="64">
        <v>107</v>
      </c>
    </row>
    <row r="109" spans="1:5" x14ac:dyDescent="0.35">
      <c r="A109" s="68" t="s">
        <v>101</v>
      </c>
      <c r="B109" s="61" t="str">
        <f t="shared" si="3"/>
        <v>2014</v>
      </c>
      <c r="C109" s="69">
        <v>20631</v>
      </c>
      <c r="D109" s="63">
        <v>2014</v>
      </c>
      <c r="E109" s="64">
        <v>108</v>
      </c>
    </row>
    <row r="110" spans="1:5" x14ac:dyDescent="0.35">
      <c r="A110" s="68" t="s">
        <v>102</v>
      </c>
      <c r="B110" s="61" t="str">
        <f t="shared" si="3"/>
        <v>2014</v>
      </c>
      <c r="C110" s="69">
        <v>20699</v>
      </c>
      <c r="D110" s="63">
        <v>2014</v>
      </c>
      <c r="E110" s="64">
        <v>109</v>
      </c>
    </row>
    <row r="111" spans="1:5" x14ac:dyDescent="0.35">
      <c r="A111" s="68" t="s">
        <v>103</v>
      </c>
      <c r="B111" s="61" t="str">
        <f t="shared" si="3"/>
        <v>2014</v>
      </c>
      <c r="C111" s="69">
        <v>21676</v>
      </c>
      <c r="D111" s="63">
        <v>2014</v>
      </c>
      <c r="E111" s="64">
        <v>110</v>
      </c>
    </row>
    <row r="112" spans="1:5" x14ac:dyDescent="0.35">
      <c r="A112" s="68" t="s">
        <v>104</v>
      </c>
      <c r="B112" s="61" t="str">
        <f t="shared" si="3"/>
        <v>2014</v>
      </c>
      <c r="C112" s="69">
        <v>20211</v>
      </c>
      <c r="D112" s="63">
        <v>2014</v>
      </c>
      <c r="E112" s="64">
        <v>111</v>
      </c>
    </row>
    <row r="113" spans="1:5" x14ac:dyDescent="0.35">
      <c r="A113" s="68" t="s">
        <v>105</v>
      </c>
      <c r="B113" s="61" t="str">
        <f t="shared" si="3"/>
        <v>2014</v>
      </c>
      <c r="C113" s="69">
        <v>24046</v>
      </c>
      <c r="D113" s="63">
        <v>2014</v>
      </c>
      <c r="E113" s="64">
        <v>112</v>
      </c>
    </row>
    <row r="114" spans="1:5" x14ac:dyDescent="0.35">
      <c r="A114" s="68" t="s">
        <v>106</v>
      </c>
      <c r="B114" s="61" t="str">
        <f t="shared" si="3"/>
        <v>2015</v>
      </c>
      <c r="C114" s="69">
        <v>21713</v>
      </c>
      <c r="D114" s="63">
        <v>2015</v>
      </c>
      <c r="E114" s="64">
        <v>113</v>
      </c>
    </row>
    <row r="115" spans="1:5" x14ac:dyDescent="0.35">
      <c r="A115" s="68" t="s">
        <v>107</v>
      </c>
      <c r="B115" s="61" t="str">
        <f t="shared" si="3"/>
        <v>2015</v>
      </c>
      <c r="C115" s="69">
        <v>20085</v>
      </c>
      <c r="D115" s="63">
        <v>2015</v>
      </c>
      <c r="E115" s="64">
        <v>114</v>
      </c>
    </row>
    <row r="116" spans="1:5" x14ac:dyDescent="0.35">
      <c r="A116" s="68" t="s">
        <v>108</v>
      </c>
      <c r="B116" s="61" t="str">
        <f t="shared" si="3"/>
        <v>2015</v>
      </c>
      <c r="C116" s="69">
        <v>22366</v>
      </c>
      <c r="D116" s="63">
        <v>2015</v>
      </c>
      <c r="E116" s="64">
        <v>115</v>
      </c>
    </row>
    <row r="117" spans="1:5" x14ac:dyDescent="0.35">
      <c r="A117" s="68" t="s">
        <v>109</v>
      </c>
      <c r="B117" s="61" t="str">
        <f t="shared" si="3"/>
        <v>2015</v>
      </c>
      <c r="C117" s="69">
        <v>21551</v>
      </c>
      <c r="D117" s="63">
        <v>2015</v>
      </c>
      <c r="E117" s="64">
        <v>116</v>
      </c>
    </row>
    <row r="118" spans="1:5" x14ac:dyDescent="0.35">
      <c r="A118" s="70" t="s">
        <v>110</v>
      </c>
      <c r="B118" s="61" t="str">
        <f t="shared" si="3"/>
        <v>2015</v>
      </c>
      <c r="C118" s="69">
        <v>21461</v>
      </c>
      <c r="D118" s="63">
        <v>2015</v>
      </c>
      <c r="E118" s="64">
        <v>117</v>
      </c>
    </row>
    <row r="119" spans="1:5" x14ac:dyDescent="0.35">
      <c r="A119" s="68" t="s">
        <v>111</v>
      </c>
      <c r="B119" s="61" t="str">
        <f t="shared" si="3"/>
        <v>2015</v>
      </c>
      <c r="C119" s="69">
        <v>21489</v>
      </c>
      <c r="D119" s="63">
        <v>2015</v>
      </c>
      <c r="E119" s="64">
        <v>118</v>
      </c>
    </row>
    <row r="120" spans="1:5" x14ac:dyDescent="0.35">
      <c r="A120" s="68" t="s">
        <v>112</v>
      </c>
      <c r="B120" s="61" t="str">
        <f t="shared" si="3"/>
        <v>2015</v>
      </c>
      <c r="C120" s="69">
        <v>21774</v>
      </c>
      <c r="D120" s="63">
        <v>2015</v>
      </c>
      <c r="E120" s="64">
        <v>119</v>
      </c>
    </row>
    <row r="121" spans="1:5" x14ac:dyDescent="0.35">
      <c r="A121" s="68" t="s">
        <v>113</v>
      </c>
      <c r="B121" s="61" t="str">
        <f t="shared" si="3"/>
        <v>2015</v>
      </c>
      <c r="C121" s="69">
        <v>21533</v>
      </c>
      <c r="D121" s="63">
        <v>2015</v>
      </c>
      <c r="E121" s="64">
        <v>120</v>
      </c>
    </row>
    <row r="122" spans="1:5" x14ac:dyDescent="0.35">
      <c r="A122" s="68" t="s">
        <v>114</v>
      </c>
      <c r="B122" s="61" t="str">
        <f t="shared" si="3"/>
        <v>2015</v>
      </c>
      <c r="C122" s="69">
        <v>22018</v>
      </c>
      <c r="D122" s="63">
        <v>2015</v>
      </c>
      <c r="E122" s="64">
        <v>121</v>
      </c>
    </row>
    <row r="123" spans="1:5" x14ac:dyDescent="0.35">
      <c r="A123" s="68" t="s">
        <v>115</v>
      </c>
      <c r="B123" s="61" t="str">
        <f t="shared" si="3"/>
        <v>2015</v>
      </c>
      <c r="C123" s="69">
        <v>22625</v>
      </c>
      <c r="D123" s="63">
        <v>2015</v>
      </c>
      <c r="E123" s="64">
        <v>122</v>
      </c>
    </row>
    <row r="124" spans="1:5" x14ac:dyDescent="0.35">
      <c r="A124" s="68" t="s">
        <v>116</v>
      </c>
      <c r="B124" s="61" t="str">
        <f t="shared" si="3"/>
        <v>2015</v>
      </c>
      <c r="C124" s="69">
        <v>21642</v>
      </c>
      <c r="D124" s="63">
        <v>2015</v>
      </c>
      <c r="E124" s="64">
        <v>123</v>
      </c>
    </row>
    <row r="125" spans="1:5" x14ac:dyDescent="0.35">
      <c r="A125" s="68" t="s">
        <v>117</v>
      </c>
      <c r="B125" s="61" t="str">
        <f t="shared" si="3"/>
        <v>2015</v>
      </c>
      <c r="C125" s="69">
        <v>25212</v>
      </c>
      <c r="D125" s="63">
        <v>2015</v>
      </c>
      <c r="E125" s="64">
        <v>124</v>
      </c>
    </row>
    <row r="126" spans="1:5" x14ac:dyDescent="0.35">
      <c r="A126" s="68" t="s">
        <v>118</v>
      </c>
      <c r="B126" s="61" t="str">
        <f t="shared" si="3"/>
        <v>2016</v>
      </c>
      <c r="C126" s="69">
        <v>22157</v>
      </c>
      <c r="D126" s="63">
        <v>2016</v>
      </c>
      <c r="E126" s="64">
        <v>125</v>
      </c>
    </row>
    <row r="127" spans="1:5" x14ac:dyDescent="0.35">
      <c r="A127" s="68" t="s">
        <v>119</v>
      </c>
      <c r="B127" s="61" t="str">
        <f t="shared" si="3"/>
        <v>2016</v>
      </c>
      <c r="C127" s="69">
        <v>22390</v>
      </c>
      <c r="D127" s="63">
        <v>2016</v>
      </c>
      <c r="E127" s="64">
        <v>126</v>
      </c>
    </row>
    <row r="128" spans="1:5" x14ac:dyDescent="0.35">
      <c r="A128" s="68" t="s">
        <v>120</v>
      </c>
      <c r="B128" s="61" t="str">
        <f t="shared" si="3"/>
        <v>2016</v>
      </c>
      <c r="C128" s="69">
        <v>23550</v>
      </c>
      <c r="D128" s="63">
        <v>2016</v>
      </c>
      <c r="E128" s="64">
        <v>127</v>
      </c>
    </row>
    <row r="129" spans="1:5" x14ac:dyDescent="0.35">
      <c r="A129" s="68" t="s">
        <v>121</v>
      </c>
      <c r="B129" s="61" t="str">
        <f t="shared" si="3"/>
        <v>2016</v>
      </c>
      <c r="C129" s="69">
        <v>22650</v>
      </c>
      <c r="D129" s="63">
        <v>2016</v>
      </c>
      <c r="E129" s="64">
        <v>128</v>
      </c>
    </row>
    <row r="130" spans="1:5" x14ac:dyDescent="0.35">
      <c r="A130" s="70" t="s">
        <v>122</v>
      </c>
      <c r="B130" s="61" t="str">
        <f t="shared" ref="B130:B161" si="4">MID(A130,6,4)</f>
        <v>2016</v>
      </c>
      <c r="C130" s="69">
        <v>23091</v>
      </c>
      <c r="D130" s="63">
        <v>2016</v>
      </c>
      <c r="E130" s="64">
        <v>129</v>
      </c>
    </row>
    <row r="131" spans="1:5" x14ac:dyDescent="0.35">
      <c r="A131" s="68" t="s">
        <v>123</v>
      </c>
      <c r="B131" s="61" t="str">
        <f t="shared" si="4"/>
        <v>2016</v>
      </c>
      <c r="C131" s="69">
        <v>22696</v>
      </c>
      <c r="D131" s="63">
        <v>2016</v>
      </c>
      <c r="E131" s="64">
        <v>130</v>
      </c>
    </row>
    <row r="132" spans="1:5" x14ac:dyDescent="0.35">
      <c r="A132" s="68" t="s">
        <v>124</v>
      </c>
      <c r="B132" s="61" t="str">
        <f t="shared" si="4"/>
        <v>2016</v>
      </c>
      <c r="C132" s="69">
        <v>22157</v>
      </c>
      <c r="D132" s="63">
        <v>2016</v>
      </c>
      <c r="E132" s="64">
        <v>131</v>
      </c>
    </row>
    <row r="133" spans="1:5" x14ac:dyDescent="0.35">
      <c r="A133" s="68" t="s">
        <v>125</v>
      </c>
      <c r="B133" s="61" t="str">
        <f t="shared" si="4"/>
        <v>2016</v>
      </c>
      <c r="C133" s="69">
        <v>22989</v>
      </c>
      <c r="D133" s="63">
        <v>2016</v>
      </c>
      <c r="E133" s="64">
        <v>132</v>
      </c>
    </row>
    <row r="134" spans="1:5" x14ac:dyDescent="0.35">
      <c r="A134" s="68" t="s">
        <v>126</v>
      </c>
      <c r="B134" s="61" t="str">
        <f t="shared" si="4"/>
        <v>2016</v>
      </c>
      <c r="C134" s="69">
        <v>22211</v>
      </c>
      <c r="D134" s="63">
        <v>2016</v>
      </c>
      <c r="E134" s="64">
        <v>133</v>
      </c>
    </row>
    <row r="135" spans="1:5" x14ac:dyDescent="0.35">
      <c r="A135" s="68" t="s">
        <v>127</v>
      </c>
      <c r="B135" s="61" t="str">
        <f t="shared" si="4"/>
        <v>2016</v>
      </c>
      <c r="C135" s="69">
        <v>22096</v>
      </c>
      <c r="D135" s="63">
        <v>2016</v>
      </c>
      <c r="E135" s="64">
        <v>134</v>
      </c>
    </row>
    <row r="136" spans="1:5" x14ac:dyDescent="0.35">
      <c r="A136" s="68" t="s">
        <v>128</v>
      </c>
      <c r="B136" s="61" t="str">
        <f t="shared" si="4"/>
        <v>2016</v>
      </c>
      <c r="C136" s="69">
        <v>21854</v>
      </c>
      <c r="D136" s="63">
        <v>2016</v>
      </c>
      <c r="E136" s="64">
        <v>135</v>
      </c>
    </row>
    <row r="137" spans="1:5" x14ac:dyDescent="0.35">
      <c r="A137" s="68" t="s">
        <v>129</v>
      </c>
      <c r="B137" s="61" t="str">
        <f t="shared" si="4"/>
        <v>2016</v>
      </c>
      <c r="C137" s="69">
        <v>24489</v>
      </c>
      <c r="D137" s="63">
        <v>2016</v>
      </c>
      <c r="E137" s="64">
        <v>136</v>
      </c>
    </row>
    <row r="138" spans="1:5" x14ac:dyDescent="0.35">
      <c r="A138" s="68" t="s">
        <v>130</v>
      </c>
      <c r="B138" s="61" t="str">
        <f t="shared" si="4"/>
        <v>2017</v>
      </c>
      <c r="C138" s="69">
        <v>22379</v>
      </c>
      <c r="D138" s="63">
        <v>2017</v>
      </c>
      <c r="E138" s="64">
        <v>137</v>
      </c>
    </row>
    <row r="139" spans="1:5" x14ac:dyDescent="0.35">
      <c r="A139" s="68" t="s">
        <v>131</v>
      </c>
      <c r="B139" s="61" t="str">
        <f t="shared" si="4"/>
        <v>2017</v>
      </c>
      <c r="C139" s="69">
        <v>21234</v>
      </c>
      <c r="D139" s="63">
        <v>2017</v>
      </c>
      <c r="E139" s="64">
        <v>138</v>
      </c>
    </row>
    <row r="140" spans="1:5" x14ac:dyDescent="0.35">
      <c r="A140" s="68" t="s">
        <v>132</v>
      </c>
      <c r="B140" s="61" t="str">
        <f t="shared" si="4"/>
        <v>2017</v>
      </c>
      <c r="C140" s="69">
        <v>23348</v>
      </c>
      <c r="D140" s="63">
        <v>2017</v>
      </c>
      <c r="E140" s="64">
        <v>139</v>
      </c>
    </row>
    <row r="141" spans="1:5" x14ac:dyDescent="0.35">
      <c r="A141" s="68" t="s">
        <v>133</v>
      </c>
      <c r="B141" s="61" t="str">
        <f t="shared" si="4"/>
        <v>2017</v>
      </c>
      <c r="C141" s="69">
        <v>22294</v>
      </c>
      <c r="D141" s="63">
        <v>2017</v>
      </c>
      <c r="E141" s="64">
        <v>140</v>
      </c>
    </row>
    <row r="142" spans="1:5" x14ac:dyDescent="0.35">
      <c r="A142" s="70" t="s">
        <v>134</v>
      </c>
      <c r="B142" s="61" t="str">
        <f t="shared" si="4"/>
        <v>2017</v>
      </c>
      <c r="C142" s="69">
        <v>23737</v>
      </c>
      <c r="D142" s="63">
        <v>2017</v>
      </c>
      <c r="E142" s="64">
        <v>141</v>
      </c>
    </row>
    <row r="143" spans="1:5" x14ac:dyDescent="0.35">
      <c r="A143" s="68" t="s">
        <v>135</v>
      </c>
      <c r="B143" s="61" t="str">
        <f t="shared" si="4"/>
        <v>2017</v>
      </c>
      <c r="C143" s="69">
        <v>23055</v>
      </c>
      <c r="D143" s="63">
        <v>2017</v>
      </c>
      <c r="E143" s="64">
        <v>142</v>
      </c>
    </row>
    <row r="144" spans="1:5" x14ac:dyDescent="0.35">
      <c r="A144" s="68" t="s">
        <v>136</v>
      </c>
      <c r="B144" s="61" t="str">
        <f t="shared" si="4"/>
        <v>2017</v>
      </c>
      <c r="C144" s="69">
        <v>22295</v>
      </c>
      <c r="D144" s="63">
        <v>2017</v>
      </c>
      <c r="E144" s="64">
        <v>143</v>
      </c>
    </row>
    <row r="145" spans="1:5" x14ac:dyDescent="0.35">
      <c r="A145" s="68" t="s">
        <v>137</v>
      </c>
      <c r="B145" s="61" t="str">
        <f t="shared" si="4"/>
        <v>2017</v>
      </c>
      <c r="C145" s="69">
        <v>23540</v>
      </c>
      <c r="D145" s="63">
        <v>2017</v>
      </c>
      <c r="E145" s="64">
        <v>144</v>
      </c>
    </row>
    <row r="146" spans="1:5" x14ac:dyDescent="0.35">
      <c r="A146" s="68" t="s">
        <v>138</v>
      </c>
      <c r="B146" s="61" t="str">
        <f t="shared" si="4"/>
        <v>2017</v>
      </c>
      <c r="C146" s="69">
        <v>22628</v>
      </c>
      <c r="D146" s="63">
        <v>2017</v>
      </c>
      <c r="E146" s="64">
        <v>145</v>
      </c>
    </row>
    <row r="147" spans="1:5" x14ac:dyDescent="0.35">
      <c r="A147" s="68" t="s">
        <v>139</v>
      </c>
      <c r="B147" s="61" t="str">
        <f t="shared" si="4"/>
        <v>2017</v>
      </c>
      <c r="C147" s="69">
        <v>24105</v>
      </c>
      <c r="D147" s="63">
        <v>2017</v>
      </c>
      <c r="E147" s="64">
        <v>146</v>
      </c>
    </row>
    <row r="148" spans="1:5" x14ac:dyDescent="0.35">
      <c r="A148" s="68" t="s">
        <v>140</v>
      </c>
      <c r="B148" s="61" t="str">
        <f t="shared" si="4"/>
        <v>2017</v>
      </c>
      <c r="C148" s="69">
        <v>23359</v>
      </c>
      <c r="D148" s="63">
        <v>2017</v>
      </c>
      <c r="E148" s="64">
        <v>147</v>
      </c>
    </row>
    <row r="149" spans="1:5" x14ac:dyDescent="0.35">
      <c r="A149" s="68" t="s">
        <v>141</v>
      </c>
      <c r="B149" s="61" t="str">
        <f t="shared" si="4"/>
        <v>2017</v>
      </c>
      <c r="C149" s="69">
        <v>25422</v>
      </c>
      <c r="D149" s="63">
        <v>2017</v>
      </c>
      <c r="E149" s="64">
        <v>148</v>
      </c>
    </row>
    <row r="150" spans="1:5" x14ac:dyDescent="0.35">
      <c r="A150" s="68" t="s">
        <v>142</v>
      </c>
      <c r="B150" s="61" t="str">
        <f t="shared" si="4"/>
        <v>2018</v>
      </c>
      <c r="C150" s="69">
        <v>24280</v>
      </c>
      <c r="D150" s="63">
        <v>2018</v>
      </c>
      <c r="E150" s="64">
        <v>149</v>
      </c>
    </row>
    <row r="151" spans="1:5" x14ac:dyDescent="0.35">
      <c r="A151" s="68" t="s">
        <v>143</v>
      </c>
      <c r="B151" s="61" t="str">
        <f t="shared" si="4"/>
        <v>2018</v>
      </c>
      <c r="C151" s="69">
        <v>22007</v>
      </c>
      <c r="D151" s="63">
        <v>2018</v>
      </c>
      <c r="E151" s="64">
        <v>150</v>
      </c>
    </row>
    <row r="152" spans="1:5" x14ac:dyDescent="0.35">
      <c r="A152" s="68" t="s">
        <v>144</v>
      </c>
      <c r="B152" s="61" t="str">
        <f t="shared" si="4"/>
        <v>2018</v>
      </c>
      <c r="C152" s="69">
        <v>24075</v>
      </c>
      <c r="D152" s="63">
        <v>2018</v>
      </c>
      <c r="E152" s="64">
        <v>151</v>
      </c>
    </row>
    <row r="153" spans="1:5" x14ac:dyDescent="0.35">
      <c r="A153" s="68" t="s">
        <v>145</v>
      </c>
      <c r="B153" s="61" t="str">
        <f t="shared" si="4"/>
        <v>2018</v>
      </c>
      <c r="C153" s="69">
        <v>23242</v>
      </c>
      <c r="D153" s="63">
        <v>2018</v>
      </c>
      <c r="E153" s="64">
        <v>152</v>
      </c>
    </row>
    <row r="154" spans="1:5" x14ac:dyDescent="0.35">
      <c r="A154" s="70" t="s">
        <v>146</v>
      </c>
      <c r="B154" s="61" t="str">
        <f t="shared" si="4"/>
        <v>2018</v>
      </c>
      <c r="C154" s="69">
        <v>24848</v>
      </c>
      <c r="D154" s="63">
        <v>2018</v>
      </c>
      <c r="E154" s="64">
        <v>153</v>
      </c>
    </row>
    <row r="155" spans="1:5" x14ac:dyDescent="0.35">
      <c r="A155" s="68" t="s">
        <v>147</v>
      </c>
      <c r="B155" s="61" t="str">
        <f t="shared" si="4"/>
        <v>2018</v>
      </c>
      <c r="C155" s="69">
        <v>23329</v>
      </c>
      <c r="D155" s="63">
        <v>2018</v>
      </c>
      <c r="E155" s="64">
        <v>154</v>
      </c>
    </row>
    <row r="156" spans="1:5" x14ac:dyDescent="0.35">
      <c r="A156" s="68" t="s">
        <v>148</v>
      </c>
      <c r="B156" s="61" t="str">
        <f t="shared" si="4"/>
        <v>2018</v>
      </c>
      <c r="C156" s="69">
        <v>23581</v>
      </c>
      <c r="D156" s="63">
        <v>2018</v>
      </c>
      <c r="E156" s="64">
        <v>155</v>
      </c>
    </row>
    <row r="157" spans="1:5" x14ac:dyDescent="0.35">
      <c r="A157" s="68" t="s">
        <v>149</v>
      </c>
      <c r="B157" s="61" t="str">
        <f t="shared" si="4"/>
        <v>2018</v>
      </c>
      <c r="C157" s="69">
        <v>24762</v>
      </c>
      <c r="D157" s="63">
        <v>2018</v>
      </c>
      <c r="E157" s="64">
        <v>156</v>
      </c>
    </row>
    <row r="158" spans="1:5" x14ac:dyDescent="0.35">
      <c r="A158" s="68" t="s">
        <v>150</v>
      </c>
      <c r="B158" s="61" t="str">
        <f t="shared" si="4"/>
        <v>2018</v>
      </c>
      <c r="C158" s="69">
        <v>22930</v>
      </c>
      <c r="D158" s="63">
        <v>2018</v>
      </c>
      <c r="E158" s="64">
        <v>157</v>
      </c>
    </row>
    <row r="159" spans="1:5" x14ac:dyDescent="0.35">
      <c r="A159" s="68" t="s">
        <v>151</v>
      </c>
      <c r="B159" s="61" t="str">
        <f t="shared" si="4"/>
        <v>2018</v>
      </c>
      <c r="C159" s="69">
        <v>25608</v>
      </c>
      <c r="D159" s="63">
        <v>2018</v>
      </c>
      <c r="E159" s="64">
        <v>158</v>
      </c>
    </row>
    <row r="160" spans="1:5" x14ac:dyDescent="0.35">
      <c r="A160" s="68" t="s">
        <v>152</v>
      </c>
      <c r="B160" s="61" t="str">
        <f t="shared" si="4"/>
        <v>2018</v>
      </c>
      <c r="C160" s="69">
        <v>24553</v>
      </c>
      <c r="D160" s="63">
        <v>2018</v>
      </c>
      <c r="E160" s="64">
        <v>159</v>
      </c>
    </row>
    <row r="161" spans="1:5" x14ac:dyDescent="0.35">
      <c r="A161" s="68" t="s">
        <v>153</v>
      </c>
      <c r="B161" s="61" t="str">
        <f t="shared" si="4"/>
        <v>2018</v>
      </c>
      <c r="C161" s="69">
        <v>25631</v>
      </c>
      <c r="D161" s="63">
        <v>2018</v>
      </c>
      <c r="E161" s="64">
        <v>160</v>
      </c>
    </row>
    <row r="162" spans="1:5" x14ac:dyDescent="0.35">
      <c r="A162" s="68" t="s">
        <v>154</v>
      </c>
      <c r="B162" s="61" t="str">
        <f t="shared" ref="B162:B193" si="5">MID(A162,6,4)</f>
        <v>2019</v>
      </c>
      <c r="C162" s="69">
        <v>25037</v>
      </c>
      <c r="D162" s="63">
        <v>2019</v>
      </c>
      <c r="E162" s="64">
        <v>161</v>
      </c>
    </row>
    <row r="163" spans="1:5" x14ac:dyDescent="0.35">
      <c r="A163" s="68" t="s">
        <v>155</v>
      </c>
      <c r="B163" s="61" t="str">
        <f t="shared" si="5"/>
        <v>2019</v>
      </c>
      <c r="C163" s="69">
        <v>23240</v>
      </c>
      <c r="D163" s="63">
        <v>2019</v>
      </c>
      <c r="E163" s="64">
        <v>162</v>
      </c>
    </row>
    <row r="164" spans="1:5" x14ac:dyDescent="0.35">
      <c r="A164" s="68" t="s">
        <v>156</v>
      </c>
      <c r="B164" s="61" t="str">
        <f t="shared" si="5"/>
        <v>2019</v>
      </c>
      <c r="C164" s="69">
        <v>24577</v>
      </c>
      <c r="D164" s="63">
        <v>2019</v>
      </c>
      <c r="E164" s="64">
        <v>163</v>
      </c>
    </row>
    <row r="165" spans="1:5" x14ac:dyDescent="0.35">
      <c r="A165" s="68" t="s">
        <v>157</v>
      </c>
      <c r="B165" s="61" t="str">
        <f t="shared" si="5"/>
        <v>2019</v>
      </c>
      <c r="C165" s="69">
        <v>24806</v>
      </c>
      <c r="D165" s="63">
        <v>2019</v>
      </c>
      <c r="E165" s="64">
        <v>164</v>
      </c>
    </row>
    <row r="166" spans="1:5" x14ac:dyDescent="0.35">
      <c r="A166" s="70" t="s">
        <v>158</v>
      </c>
      <c r="B166" s="61" t="str">
        <f t="shared" si="5"/>
        <v>2019</v>
      </c>
      <c r="C166" s="69">
        <v>25717</v>
      </c>
      <c r="D166" s="63">
        <v>2019</v>
      </c>
      <c r="E166" s="64">
        <v>165</v>
      </c>
    </row>
    <row r="167" spans="1:5" x14ac:dyDescent="0.35">
      <c r="A167" s="68" t="s">
        <v>159</v>
      </c>
      <c r="B167" s="61" t="str">
        <f t="shared" si="5"/>
        <v>2019</v>
      </c>
      <c r="C167" s="69">
        <v>23745</v>
      </c>
      <c r="D167" s="63">
        <v>2019</v>
      </c>
      <c r="E167" s="64">
        <v>166</v>
      </c>
    </row>
    <row r="168" spans="1:5" x14ac:dyDescent="0.35">
      <c r="A168" s="68" t="s">
        <v>160</v>
      </c>
      <c r="B168" s="61" t="str">
        <f t="shared" si="5"/>
        <v>2019</v>
      </c>
      <c r="C168" s="69">
        <v>24531</v>
      </c>
      <c r="D168" s="63">
        <v>2019</v>
      </c>
      <c r="E168" s="64">
        <v>167</v>
      </c>
    </row>
    <row r="169" spans="1:5" x14ac:dyDescent="0.35">
      <c r="A169" s="68" t="s">
        <v>161</v>
      </c>
      <c r="B169" s="61" t="str">
        <f t="shared" si="5"/>
        <v>2019</v>
      </c>
      <c r="C169" s="69">
        <v>24710</v>
      </c>
      <c r="D169" s="63">
        <v>2019</v>
      </c>
      <c r="E169" s="64">
        <v>168</v>
      </c>
    </row>
    <row r="170" spans="1:5" x14ac:dyDescent="0.35">
      <c r="A170" s="68" t="s">
        <v>162</v>
      </c>
      <c r="B170" s="61" t="str">
        <f t="shared" si="5"/>
        <v>2019</v>
      </c>
      <c r="C170" s="69">
        <v>23630</v>
      </c>
      <c r="D170" s="63">
        <v>2019</v>
      </c>
      <c r="E170" s="64">
        <v>169</v>
      </c>
    </row>
    <row r="171" spans="1:5" x14ac:dyDescent="0.35">
      <c r="A171" s="68" t="s">
        <v>163</v>
      </c>
      <c r="B171" s="61" t="str">
        <f t="shared" si="5"/>
        <v>2019</v>
      </c>
      <c r="C171" s="69">
        <v>26097</v>
      </c>
      <c r="D171" s="63">
        <v>2019</v>
      </c>
      <c r="E171" s="64">
        <v>170</v>
      </c>
    </row>
    <row r="172" spans="1:5" x14ac:dyDescent="0.35">
      <c r="A172" s="68" t="s">
        <v>164</v>
      </c>
      <c r="B172" s="61" t="str">
        <f t="shared" si="5"/>
        <v>2019</v>
      </c>
      <c r="C172" s="69">
        <v>23964</v>
      </c>
      <c r="D172" s="63">
        <v>2019</v>
      </c>
      <c r="E172" s="64">
        <v>171</v>
      </c>
    </row>
    <row r="173" spans="1:5" x14ac:dyDescent="0.35">
      <c r="A173" s="68" t="s">
        <v>165</v>
      </c>
      <c r="B173" s="61" t="str">
        <f t="shared" si="5"/>
        <v>2019</v>
      </c>
      <c r="C173" s="69">
        <v>26509</v>
      </c>
      <c r="D173" s="63">
        <v>2019</v>
      </c>
      <c r="E173" s="64">
        <v>172</v>
      </c>
    </row>
    <row r="174" spans="1:5" x14ac:dyDescent="0.35">
      <c r="A174" s="68" t="s">
        <v>166</v>
      </c>
      <c r="B174" s="61" t="str">
        <f t="shared" si="5"/>
        <v>2020</v>
      </c>
      <c r="C174" s="69">
        <v>25209</v>
      </c>
      <c r="D174" s="63">
        <v>2020</v>
      </c>
      <c r="E174" s="64">
        <v>173</v>
      </c>
    </row>
    <row r="175" spans="1:5" x14ac:dyDescent="0.35">
      <c r="A175" s="68" t="s">
        <v>167</v>
      </c>
      <c r="B175" s="61" t="str">
        <f t="shared" si="5"/>
        <v>2020</v>
      </c>
      <c r="C175" s="69">
        <v>23934</v>
      </c>
      <c r="D175" s="63">
        <v>2020</v>
      </c>
      <c r="E175" s="64">
        <v>174</v>
      </c>
    </row>
    <row r="176" spans="1:5" x14ac:dyDescent="0.35">
      <c r="A176" s="68" t="s">
        <v>168</v>
      </c>
      <c r="B176" s="61" t="str">
        <f t="shared" si="5"/>
        <v>2020</v>
      </c>
      <c r="C176" s="69">
        <v>27839</v>
      </c>
      <c r="D176" s="63">
        <v>2020</v>
      </c>
      <c r="E176" s="64">
        <v>175</v>
      </c>
    </row>
    <row r="177" spans="1:5" x14ac:dyDescent="0.35">
      <c r="A177" s="68" t="s">
        <v>169</v>
      </c>
      <c r="B177" s="61" t="str">
        <f t="shared" si="5"/>
        <v>2020</v>
      </c>
      <c r="C177" s="69">
        <v>24749</v>
      </c>
      <c r="D177" s="63">
        <v>2020</v>
      </c>
      <c r="E177" s="64">
        <v>176</v>
      </c>
    </row>
    <row r="178" spans="1:5" x14ac:dyDescent="0.35">
      <c r="A178" s="70" t="s">
        <v>170</v>
      </c>
      <c r="B178" s="61" t="str">
        <f t="shared" si="5"/>
        <v>2020</v>
      </c>
      <c r="C178" s="69">
        <v>24923</v>
      </c>
      <c r="D178" s="63">
        <v>2020</v>
      </c>
      <c r="E178" s="64">
        <v>177</v>
      </c>
    </row>
    <row r="179" spans="1:5" x14ac:dyDescent="0.35">
      <c r="A179" s="68" t="s">
        <v>171</v>
      </c>
      <c r="B179" s="61" t="str">
        <f t="shared" si="5"/>
        <v>2020</v>
      </c>
      <c r="C179" s="69">
        <v>25841</v>
      </c>
      <c r="D179" s="63">
        <v>2020</v>
      </c>
      <c r="E179" s="64">
        <v>178</v>
      </c>
    </row>
    <row r="180" spans="1:5" x14ac:dyDescent="0.35">
      <c r="A180" s="68" t="s">
        <v>172</v>
      </c>
      <c r="B180" s="61" t="str">
        <f t="shared" si="5"/>
        <v>2020</v>
      </c>
      <c r="C180" s="69">
        <v>26334</v>
      </c>
      <c r="D180" s="63">
        <v>2020</v>
      </c>
      <c r="E180" s="64">
        <v>179</v>
      </c>
    </row>
    <row r="181" spans="1:5" ht="15" thickBot="1" x14ac:dyDescent="0.4">
      <c r="A181" s="71" t="s">
        <v>173</v>
      </c>
      <c r="B181" s="72" t="str">
        <f t="shared" si="5"/>
        <v>2020</v>
      </c>
      <c r="C181" s="73">
        <v>25913</v>
      </c>
      <c r="D181" s="74">
        <v>2020</v>
      </c>
      <c r="E181" s="75">
        <v>180</v>
      </c>
    </row>
  </sheetData>
  <mergeCells count="1">
    <mergeCell ref="H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4159-CED6-4342-AE84-DAE9C88ABDD8}">
  <dimension ref="A1:H204"/>
  <sheetViews>
    <sheetView workbookViewId="0">
      <selection activeCell="B4" sqref="B4"/>
    </sheetView>
  </sheetViews>
  <sheetFormatPr defaultRowHeight="14.5" x14ac:dyDescent="0.35"/>
  <cols>
    <col min="1" max="1" width="17.36328125" style="8" bestFit="1" customWidth="1"/>
    <col min="2" max="2" width="11.08984375" style="8" bestFit="1" customWidth="1"/>
    <col min="3" max="4" width="16.08984375" style="8" bestFit="1" customWidth="1"/>
    <col min="5" max="5" width="9.08984375" style="8" bestFit="1" customWidth="1"/>
    <col min="6" max="7" width="11.08984375" style="8" bestFit="1" customWidth="1"/>
    <col min="8" max="9" width="10.08984375" style="8" bestFit="1" customWidth="1"/>
    <col min="10" max="16384" width="8.7265625" style="8"/>
  </cols>
  <sheetData>
    <row r="1" spans="1:8" ht="15" thickBot="1" x14ac:dyDescent="0.4">
      <c r="A1" s="8" t="s">
        <v>185</v>
      </c>
      <c r="C1" s="113" t="s">
        <v>242</v>
      </c>
      <c r="D1" s="114"/>
      <c r="E1" s="114"/>
      <c r="F1" s="114"/>
      <c r="G1" s="114"/>
      <c r="H1" s="115"/>
    </row>
    <row r="2" spans="1:8" ht="15" thickBot="1" x14ac:dyDescent="0.4"/>
    <row r="3" spans="1:8" x14ac:dyDescent="0.35">
      <c r="A3" s="9" t="s">
        <v>186</v>
      </c>
      <c r="B3" s="9"/>
    </row>
    <row r="4" spans="1:8" x14ac:dyDescent="0.35">
      <c r="A4" s="10" t="s">
        <v>187</v>
      </c>
      <c r="B4" s="10">
        <v>0.95456932688604412</v>
      </c>
    </row>
    <row r="5" spans="1:8" x14ac:dyDescent="0.35">
      <c r="A5" s="10" t="s">
        <v>188</v>
      </c>
      <c r="B5" s="17">
        <v>0.91120259983167529</v>
      </c>
    </row>
    <row r="6" spans="1:8" ht="18.5" x14ac:dyDescent="0.45">
      <c r="A6" s="10" t="s">
        <v>189</v>
      </c>
      <c r="B6" s="31">
        <v>0.91070373803297677</v>
      </c>
    </row>
    <row r="7" spans="1:8" x14ac:dyDescent="0.35">
      <c r="A7" s="10" t="s">
        <v>190</v>
      </c>
      <c r="B7" s="24">
        <v>910.90860159379031</v>
      </c>
    </row>
    <row r="8" spans="1:8" ht="15" thickBot="1" x14ac:dyDescent="0.4">
      <c r="A8" s="11" t="s">
        <v>191</v>
      </c>
      <c r="B8" s="29">
        <v>180</v>
      </c>
    </row>
    <row r="10" spans="1:8" ht="15" thickBot="1" x14ac:dyDescent="0.4">
      <c r="A10" s="8" t="s">
        <v>192</v>
      </c>
    </row>
    <row r="11" spans="1:8" x14ac:dyDescent="0.35">
      <c r="A11" s="12"/>
      <c r="B11" s="12" t="s">
        <v>197</v>
      </c>
      <c r="C11" s="12" t="s">
        <v>198</v>
      </c>
      <c r="D11" s="12" t="s">
        <v>199</v>
      </c>
      <c r="E11" s="12" t="s">
        <v>200</v>
      </c>
      <c r="F11" s="12" t="s">
        <v>201</v>
      </c>
    </row>
    <row r="12" spans="1:8" x14ac:dyDescent="0.35">
      <c r="A12" s="10" t="s">
        <v>193</v>
      </c>
      <c r="B12" s="10">
        <v>1</v>
      </c>
      <c r="C12" s="10">
        <v>1515598993.1230001</v>
      </c>
      <c r="D12" s="10">
        <v>1515598993.1230001</v>
      </c>
      <c r="E12" s="10">
        <v>1826.5631928703149</v>
      </c>
      <c r="F12" s="10">
        <v>1.5984539001069472E-95</v>
      </c>
    </row>
    <row r="13" spans="1:8" x14ac:dyDescent="0.35">
      <c r="A13" s="10" t="s">
        <v>194</v>
      </c>
      <c r="B13" s="10">
        <v>178</v>
      </c>
      <c r="C13" s="10">
        <v>147696297.52144471</v>
      </c>
      <c r="D13" s="10">
        <v>829754.48045755457</v>
      </c>
      <c r="E13" s="10"/>
      <c r="F13" s="10"/>
    </row>
    <row r="14" spans="1:8" ht="15" thickBot="1" x14ac:dyDescent="0.4">
      <c r="A14" s="11" t="s">
        <v>195</v>
      </c>
      <c r="B14" s="11">
        <v>179</v>
      </c>
      <c r="C14" s="11">
        <v>1663295290.6444449</v>
      </c>
      <c r="D14" s="11"/>
      <c r="E14" s="11"/>
      <c r="F14" s="11"/>
    </row>
    <row r="15" spans="1:8" ht="15" thickBot="1" x14ac:dyDescent="0.4"/>
    <row r="16" spans="1:8" x14ac:dyDescent="0.35">
      <c r="A16" s="12"/>
      <c r="B16" s="12" t="s">
        <v>202</v>
      </c>
      <c r="C16" s="12" t="s">
        <v>190</v>
      </c>
      <c r="D16" s="12" t="s">
        <v>203</v>
      </c>
      <c r="E16" s="12" t="s">
        <v>204</v>
      </c>
      <c r="F16" s="12" t="s">
        <v>205</v>
      </c>
      <c r="G16" s="12" t="s">
        <v>206</v>
      </c>
    </row>
    <row r="17" spans="1:7" x14ac:dyDescent="0.35">
      <c r="A17" s="10" t="s">
        <v>196</v>
      </c>
      <c r="B17" s="24">
        <v>15255.724643078836</v>
      </c>
      <c r="C17" s="24">
        <v>136.35800349682378</v>
      </c>
      <c r="D17" s="10">
        <v>111.87993555093516</v>
      </c>
      <c r="E17" s="15">
        <v>6.9639579346817101E-167</v>
      </c>
      <c r="F17" s="24">
        <v>14986.638364977531</v>
      </c>
      <c r="G17" s="24">
        <v>15524.810921180142</v>
      </c>
    </row>
    <row r="18" spans="1:7" ht="15" thickBot="1" x14ac:dyDescent="0.4">
      <c r="A18" s="11" t="s">
        <v>184</v>
      </c>
      <c r="B18" s="25">
        <v>55.844540469356041</v>
      </c>
      <c r="C18" s="25">
        <v>1.3066623291013522</v>
      </c>
      <c r="D18" s="11">
        <v>42.738310599160485</v>
      </c>
      <c r="E18" s="39">
        <v>1.5984539001070836E-95</v>
      </c>
      <c r="F18" s="25">
        <v>53.265998001320746</v>
      </c>
      <c r="G18" s="25">
        <v>58.423082937391335</v>
      </c>
    </row>
    <row r="22" spans="1:7" x14ac:dyDescent="0.35">
      <c r="A22" s="8" t="s">
        <v>207</v>
      </c>
    </row>
    <row r="23" spans="1:7" ht="15" thickBot="1" x14ac:dyDescent="0.4"/>
    <row r="24" spans="1:7" x14ac:dyDescent="0.35">
      <c r="A24" s="12" t="s">
        <v>208</v>
      </c>
      <c r="B24" s="12" t="s">
        <v>209</v>
      </c>
      <c r="C24" s="12" t="s">
        <v>210</v>
      </c>
    </row>
    <row r="25" spans="1:7" x14ac:dyDescent="0.35">
      <c r="A25" s="10">
        <v>1</v>
      </c>
      <c r="B25" s="24">
        <v>15311.569183548192</v>
      </c>
      <c r="C25" s="24">
        <v>-696.56918354819209</v>
      </c>
    </row>
    <row r="26" spans="1:7" x14ac:dyDescent="0.35">
      <c r="A26" s="10">
        <v>2</v>
      </c>
      <c r="B26" s="24">
        <v>15367.413724017548</v>
      </c>
      <c r="C26" s="24">
        <v>-521.41372401754779</v>
      </c>
    </row>
    <row r="27" spans="1:7" x14ac:dyDescent="0.35">
      <c r="A27" s="10">
        <v>3</v>
      </c>
      <c r="B27" s="24">
        <v>15423.258264486905</v>
      </c>
      <c r="C27" s="24">
        <v>-538.25826448690532</v>
      </c>
    </row>
    <row r="28" spans="1:7" x14ac:dyDescent="0.35">
      <c r="A28" s="10">
        <v>4</v>
      </c>
      <c r="B28" s="24">
        <v>15479.102804956261</v>
      </c>
      <c r="C28" s="24">
        <v>1623.897195043739</v>
      </c>
    </row>
    <row r="29" spans="1:7" x14ac:dyDescent="0.35">
      <c r="A29" s="10">
        <v>5</v>
      </c>
      <c r="B29" s="24">
        <v>15534.947345425617</v>
      </c>
      <c r="C29" s="24">
        <v>-277.94734542561673</v>
      </c>
    </row>
    <row r="30" spans="1:7" x14ac:dyDescent="0.35">
      <c r="A30" s="10">
        <v>6</v>
      </c>
      <c r="B30" s="24">
        <v>15590.791885894972</v>
      </c>
      <c r="C30" s="24">
        <v>-909.79188589497244</v>
      </c>
    </row>
    <row r="31" spans="1:7" x14ac:dyDescent="0.35">
      <c r="A31" s="10">
        <v>7</v>
      </c>
      <c r="B31" s="24">
        <v>15646.636426364328</v>
      </c>
      <c r="C31" s="24">
        <v>527.36357363567186</v>
      </c>
    </row>
    <row r="32" spans="1:7" x14ac:dyDescent="0.35">
      <c r="A32" s="10">
        <v>8</v>
      </c>
      <c r="B32" s="24">
        <v>15702.480966833684</v>
      </c>
      <c r="C32" s="24">
        <v>-477.48096683368385</v>
      </c>
    </row>
    <row r="33" spans="1:3" x14ac:dyDescent="0.35">
      <c r="A33" s="10">
        <v>9</v>
      </c>
      <c r="B33" s="24">
        <v>15758.325507303041</v>
      </c>
      <c r="C33" s="24">
        <v>512.67449269695862</v>
      </c>
    </row>
    <row r="34" spans="1:3" x14ac:dyDescent="0.35">
      <c r="A34" s="10">
        <v>10</v>
      </c>
      <c r="B34" s="24">
        <v>15814.170047772397</v>
      </c>
      <c r="C34" s="24">
        <v>-94.170047772397083</v>
      </c>
    </row>
    <row r="35" spans="1:3" x14ac:dyDescent="0.35">
      <c r="A35" s="10">
        <v>11</v>
      </c>
      <c r="B35" s="24">
        <v>15870.014588241753</v>
      </c>
      <c r="C35" s="24">
        <v>-444.01458824175279</v>
      </c>
    </row>
    <row r="36" spans="1:3" x14ac:dyDescent="0.35">
      <c r="A36" s="10">
        <v>12</v>
      </c>
      <c r="B36" s="24">
        <v>15925.859128711108</v>
      </c>
      <c r="C36" s="24">
        <v>166.1408712888915</v>
      </c>
    </row>
    <row r="37" spans="1:3" x14ac:dyDescent="0.35">
      <c r="A37" s="10">
        <v>13</v>
      </c>
      <c r="B37" s="24">
        <v>15981.703669180464</v>
      </c>
      <c r="C37" s="24">
        <v>-498.7036691804642</v>
      </c>
    </row>
    <row r="38" spans="1:3" x14ac:dyDescent="0.35">
      <c r="A38" s="10">
        <v>14</v>
      </c>
      <c r="B38" s="24">
        <v>16037.548209649822</v>
      </c>
      <c r="C38" s="24">
        <v>344.45179035017827</v>
      </c>
    </row>
    <row r="39" spans="1:3" x14ac:dyDescent="0.35">
      <c r="A39" s="10">
        <v>15</v>
      </c>
      <c r="B39" s="24">
        <v>16093.392750119177</v>
      </c>
      <c r="C39" s="24">
        <v>158.60724988082256</v>
      </c>
    </row>
    <row r="40" spans="1:3" x14ac:dyDescent="0.35">
      <c r="A40" s="10">
        <v>16</v>
      </c>
      <c r="B40" s="24">
        <v>16149.237290588533</v>
      </c>
      <c r="C40" s="24">
        <v>1905.7627094114669</v>
      </c>
    </row>
    <row r="41" spans="1:3" x14ac:dyDescent="0.35">
      <c r="A41" s="10">
        <v>17</v>
      </c>
      <c r="B41" s="24">
        <v>16205.081831057889</v>
      </c>
      <c r="C41" s="24">
        <v>779.91816894211115</v>
      </c>
    </row>
    <row r="42" spans="1:3" x14ac:dyDescent="0.35">
      <c r="A42" s="10">
        <v>18</v>
      </c>
      <c r="B42" s="24">
        <v>16260.926371527245</v>
      </c>
      <c r="C42" s="24">
        <v>-438.92637152724456</v>
      </c>
    </row>
    <row r="43" spans="1:3" x14ac:dyDescent="0.35">
      <c r="A43" s="10">
        <v>19</v>
      </c>
      <c r="B43" s="24">
        <v>16316.770911996602</v>
      </c>
      <c r="C43" s="24">
        <v>941.22908800339792</v>
      </c>
    </row>
    <row r="44" spans="1:3" x14ac:dyDescent="0.35">
      <c r="A44" s="10">
        <v>20</v>
      </c>
      <c r="B44" s="24">
        <v>16372.615452465958</v>
      </c>
      <c r="C44" s="24">
        <v>159.38454753404221</v>
      </c>
    </row>
    <row r="45" spans="1:3" x14ac:dyDescent="0.35">
      <c r="A45" s="10">
        <v>21</v>
      </c>
      <c r="B45" s="24">
        <v>16428.459992935313</v>
      </c>
      <c r="C45" s="24">
        <v>850.54000706468651</v>
      </c>
    </row>
    <row r="46" spans="1:3" x14ac:dyDescent="0.35">
      <c r="A46" s="10">
        <v>22</v>
      </c>
      <c r="B46" s="24">
        <v>16484.304533404669</v>
      </c>
      <c r="C46" s="24">
        <v>12.695466595330799</v>
      </c>
    </row>
    <row r="47" spans="1:3" x14ac:dyDescent="0.35">
      <c r="A47" s="10">
        <v>23</v>
      </c>
      <c r="B47" s="24">
        <v>16540.149073874025</v>
      </c>
      <c r="C47" s="24">
        <v>1.8509261259750929</v>
      </c>
    </row>
    <row r="48" spans="1:3" x14ac:dyDescent="0.35">
      <c r="A48" s="10">
        <v>24</v>
      </c>
      <c r="B48" s="24">
        <v>16595.993614343381</v>
      </c>
      <c r="C48" s="24">
        <v>396.00638565661939</v>
      </c>
    </row>
    <row r="49" spans="1:3" x14ac:dyDescent="0.35">
      <c r="A49" s="10">
        <v>25</v>
      </c>
      <c r="B49" s="24">
        <v>16651.838154812736</v>
      </c>
      <c r="C49" s="24">
        <v>-685.83815481273632</v>
      </c>
    </row>
    <row r="50" spans="1:3" x14ac:dyDescent="0.35">
      <c r="A50" s="10">
        <v>26</v>
      </c>
      <c r="B50" s="24">
        <v>16707.682695282092</v>
      </c>
      <c r="C50" s="24">
        <v>556.31730471790797</v>
      </c>
    </row>
    <row r="51" spans="1:3" x14ac:dyDescent="0.35">
      <c r="A51" s="10">
        <v>27</v>
      </c>
      <c r="B51" s="24">
        <v>16763.527235751448</v>
      </c>
      <c r="C51" s="24">
        <v>-50.527235751447733</v>
      </c>
    </row>
    <row r="52" spans="1:3" x14ac:dyDescent="0.35">
      <c r="A52" s="10">
        <v>28</v>
      </c>
      <c r="B52" s="24">
        <v>16819.371776220807</v>
      </c>
      <c r="C52" s="24">
        <v>1614.6282237791929</v>
      </c>
    </row>
    <row r="53" spans="1:3" x14ac:dyDescent="0.35">
      <c r="A53" s="10">
        <v>29</v>
      </c>
      <c r="B53" s="24">
        <v>16875.216316690163</v>
      </c>
      <c r="C53" s="24">
        <v>573.78368330983722</v>
      </c>
    </row>
    <row r="54" spans="1:3" x14ac:dyDescent="0.35">
      <c r="A54" s="10">
        <v>30</v>
      </c>
      <c r="B54" s="24">
        <v>16931.060857159518</v>
      </c>
      <c r="C54" s="24">
        <v>269.93914284048151</v>
      </c>
    </row>
    <row r="55" spans="1:3" x14ac:dyDescent="0.35">
      <c r="A55" s="10">
        <v>31</v>
      </c>
      <c r="B55" s="24">
        <v>16986.905397628874</v>
      </c>
      <c r="C55" s="24">
        <v>732.0946023711258</v>
      </c>
    </row>
    <row r="56" spans="1:3" x14ac:dyDescent="0.35">
      <c r="A56" s="10">
        <v>32</v>
      </c>
      <c r="B56" s="24">
        <v>17042.74993809823</v>
      </c>
      <c r="C56" s="24">
        <v>100.2500619017701</v>
      </c>
    </row>
    <row r="57" spans="1:3" x14ac:dyDescent="0.35">
      <c r="A57" s="10">
        <v>33</v>
      </c>
      <c r="B57" s="24">
        <v>17098.594478567586</v>
      </c>
      <c r="C57" s="24">
        <v>772.40552143241439</v>
      </c>
    </row>
    <row r="58" spans="1:3" x14ac:dyDescent="0.35">
      <c r="A58" s="10">
        <v>34</v>
      </c>
      <c r="B58" s="24">
        <v>17154.439019036941</v>
      </c>
      <c r="C58" s="24">
        <v>-116.43901903694132</v>
      </c>
    </row>
    <row r="59" spans="1:3" x14ac:dyDescent="0.35">
      <c r="A59" s="10">
        <v>35</v>
      </c>
      <c r="B59" s="24">
        <v>17210.283559506297</v>
      </c>
      <c r="C59" s="24">
        <v>202.71644049370298</v>
      </c>
    </row>
    <row r="60" spans="1:3" x14ac:dyDescent="0.35">
      <c r="A60" s="10">
        <v>36</v>
      </c>
      <c r="B60" s="24">
        <v>17266.128099975653</v>
      </c>
      <c r="C60" s="24">
        <v>-66.128099975652731</v>
      </c>
    </row>
    <row r="61" spans="1:3" x14ac:dyDescent="0.35">
      <c r="A61" s="10">
        <v>37</v>
      </c>
      <c r="B61" s="24">
        <v>17321.972640445008</v>
      </c>
      <c r="C61" s="24">
        <v>-145.97264044500844</v>
      </c>
    </row>
    <row r="62" spans="1:3" x14ac:dyDescent="0.35">
      <c r="A62" s="10">
        <v>38</v>
      </c>
      <c r="B62" s="24">
        <v>17377.817180914368</v>
      </c>
      <c r="C62" s="24">
        <v>641.18281908563222</v>
      </c>
    </row>
    <row r="63" spans="1:3" x14ac:dyDescent="0.35">
      <c r="A63" s="10">
        <v>39</v>
      </c>
      <c r="B63" s="24">
        <v>17433.661721383723</v>
      </c>
      <c r="C63" s="24">
        <v>-458.66172138372349</v>
      </c>
    </row>
    <row r="64" spans="1:3" x14ac:dyDescent="0.35">
      <c r="A64" s="10">
        <v>40</v>
      </c>
      <c r="B64" s="24">
        <v>17489.506261853079</v>
      </c>
      <c r="C64" s="24">
        <v>2163.4937381469208</v>
      </c>
    </row>
    <row r="65" spans="1:3" x14ac:dyDescent="0.35">
      <c r="A65" s="10">
        <v>41</v>
      </c>
      <c r="B65" s="24">
        <v>17545.350802322435</v>
      </c>
      <c r="C65" s="24">
        <v>195.6491976775651</v>
      </c>
    </row>
    <row r="66" spans="1:3" x14ac:dyDescent="0.35">
      <c r="A66" s="10">
        <v>42</v>
      </c>
      <c r="B66" s="24">
        <v>17601.195342791791</v>
      </c>
      <c r="C66" s="24">
        <v>-573.19534279179061</v>
      </c>
    </row>
    <row r="67" spans="1:3" x14ac:dyDescent="0.35">
      <c r="A67" s="10">
        <v>43</v>
      </c>
      <c r="B67" s="24">
        <v>17657.039883261146</v>
      </c>
      <c r="C67" s="24">
        <v>843.96011673885369</v>
      </c>
    </row>
    <row r="68" spans="1:3" x14ac:dyDescent="0.35">
      <c r="A68" s="10">
        <v>44</v>
      </c>
      <c r="B68" s="24">
        <v>17712.884423730502</v>
      </c>
      <c r="C68" s="24">
        <v>513.11557626949798</v>
      </c>
    </row>
    <row r="69" spans="1:3" x14ac:dyDescent="0.35">
      <c r="A69" s="10">
        <v>45</v>
      </c>
      <c r="B69" s="24">
        <v>17768.728964199858</v>
      </c>
      <c r="C69" s="24">
        <v>377.27103580014227</v>
      </c>
    </row>
    <row r="70" spans="1:3" x14ac:dyDescent="0.35">
      <c r="A70" s="10">
        <v>46</v>
      </c>
      <c r="B70" s="24">
        <v>17824.573504669213</v>
      </c>
      <c r="C70" s="24">
        <v>119.42649533078657</v>
      </c>
    </row>
    <row r="71" spans="1:3" x14ac:dyDescent="0.35">
      <c r="A71" s="10">
        <v>47</v>
      </c>
      <c r="B71" s="24">
        <v>17880.418045138569</v>
      </c>
      <c r="C71" s="24">
        <v>76.581954861430859</v>
      </c>
    </row>
    <row r="72" spans="1:3" x14ac:dyDescent="0.35">
      <c r="A72" s="10">
        <v>48</v>
      </c>
      <c r="B72" s="24">
        <v>17936.262585607925</v>
      </c>
      <c r="C72" s="24">
        <v>-332.26258560792485</v>
      </c>
    </row>
    <row r="73" spans="1:3" x14ac:dyDescent="0.35">
      <c r="A73" s="10">
        <v>49</v>
      </c>
      <c r="B73" s="24">
        <v>17992.107126077281</v>
      </c>
      <c r="C73" s="24">
        <v>-222.10712607728055</v>
      </c>
    </row>
    <row r="74" spans="1:3" x14ac:dyDescent="0.35">
      <c r="A74" s="10">
        <v>50</v>
      </c>
      <c r="B74" s="24">
        <v>18047.95166654664</v>
      </c>
      <c r="C74" s="24">
        <v>444.0483334533601</v>
      </c>
    </row>
    <row r="75" spans="1:3" x14ac:dyDescent="0.35">
      <c r="A75" s="10">
        <v>51</v>
      </c>
      <c r="B75" s="24">
        <v>18103.796207015996</v>
      </c>
      <c r="C75" s="24">
        <v>-319.79620701599561</v>
      </c>
    </row>
    <row r="76" spans="1:3" x14ac:dyDescent="0.35">
      <c r="A76" s="10">
        <v>52</v>
      </c>
      <c r="B76" s="24">
        <v>18159.640747485351</v>
      </c>
      <c r="C76" s="24">
        <v>1907.3592525146487</v>
      </c>
    </row>
    <row r="77" spans="1:3" x14ac:dyDescent="0.35">
      <c r="A77" s="10">
        <v>53</v>
      </c>
      <c r="B77" s="24">
        <v>18215.485287954707</v>
      </c>
      <c r="C77" s="24">
        <v>-341.48528795470702</v>
      </c>
    </row>
    <row r="78" spans="1:3" x14ac:dyDescent="0.35">
      <c r="A78" s="10">
        <v>54</v>
      </c>
      <c r="B78" s="24">
        <v>18271.329828424063</v>
      </c>
      <c r="C78" s="24">
        <v>-1100.3298284240627</v>
      </c>
    </row>
    <row r="79" spans="1:3" x14ac:dyDescent="0.35">
      <c r="A79" s="10">
        <v>55</v>
      </c>
      <c r="B79" s="24">
        <v>18327.174368893418</v>
      </c>
      <c r="C79" s="24">
        <v>886.82563110658157</v>
      </c>
    </row>
    <row r="80" spans="1:3" x14ac:dyDescent="0.35">
      <c r="A80" s="10">
        <v>56</v>
      </c>
      <c r="B80" s="24">
        <v>18383.018909362774</v>
      </c>
      <c r="C80" s="24">
        <v>-43.018909362774139</v>
      </c>
    </row>
    <row r="81" spans="1:3" x14ac:dyDescent="0.35">
      <c r="A81" s="10">
        <v>57</v>
      </c>
      <c r="B81" s="24">
        <v>18438.86344983213</v>
      </c>
      <c r="C81" s="24">
        <v>-143.86344983212985</v>
      </c>
    </row>
    <row r="82" spans="1:3" x14ac:dyDescent="0.35">
      <c r="A82" s="10">
        <v>58</v>
      </c>
      <c r="B82" s="24">
        <v>18494.707990301486</v>
      </c>
      <c r="C82" s="24">
        <v>-122.70799030148555</v>
      </c>
    </row>
    <row r="83" spans="1:3" x14ac:dyDescent="0.35">
      <c r="A83" s="10">
        <v>59</v>
      </c>
      <c r="B83" s="24">
        <v>18550.552530770841</v>
      </c>
      <c r="C83" s="24">
        <v>-380.55253077084126</v>
      </c>
    </row>
    <row r="84" spans="1:3" x14ac:dyDescent="0.35">
      <c r="A84" s="10">
        <v>60</v>
      </c>
      <c r="B84" s="24">
        <v>18606.397071240201</v>
      </c>
      <c r="C84" s="24">
        <v>-278.3970712402006</v>
      </c>
    </row>
    <row r="85" spans="1:3" x14ac:dyDescent="0.35">
      <c r="A85" s="10">
        <v>61</v>
      </c>
      <c r="B85" s="24">
        <v>18662.241611709556</v>
      </c>
      <c r="C85" s="24">
        <v>-538.24161170955631</v>
      </c>
    </row>
    <row r="86" spans="1:3" x14ac:dyDescent="0.35">
      <c r="A86" s="10">
        <v>62</v>
      </c>
      <c r="B86" s="24">
        <v>18718.086152178912</v>
      </c>
      <c r="C86" s="24">
        <v>-107.08615217891202</v>
      </c>
    </row>
    <row r="87" spans="1:3" x14ac:dyDescent="0.35">
      <c r="A87" s="10">
        <v>63</v>
      </c>
      <c r="B87" s="24">
        <v>18773.930692648268</v>
      </c>
      <c r="C87" s="24">
        <v>-49.930692648267723</v>
      </c>
    </row>
    <row r="88" spans="1:3" x14ac:dyDescent="0.35">
      <c r="A88" s="10">
        <v>64</v>
      </c>
      <c r="B88" s="24">
        <v>18829.775233117623</v>
      </c>
      <c r="C88" s="24">
        <v>2177.2247668823766</v>
      </c>
    </row>
    <row r="89" spans="1:3" x14ac:dyDescent="0.35">
      <c r="A89" s="10">
        <v>65</v>
      </c>
      <c r="B89" s="24">
        <v>18885.619773586979</v>
      </c>
      <c r="C89" s="24">
        <v>269.38022641302086</v>
      </c>
    </row>
    <row r="90" spans="1:3" x14ac:dyDescent="0.35">
      <c r="A90" s="10">
        <v>66</v>
      </c>
      <c r="B90" s="24">
        <v>18941.464314056335</v>
      </c>
      <c r="C90" s="24">
        <v>-824.46431405633484</v>
      </c>
    </row>
    <row r="91" spans="1:3" x14ac:dyDescent="0.35">
      <c r="A91" s="10">
        <v>67</v>
      </c>
      <c r="B91" s="24">
        <v>18997.308854525691</v>
      </c>
      <c r="C91" s="24">
        <v>1044.6911454743095</v>
      </c>
    </row>
    <row r="92" spans="1:3" x14ac:dyDescent="0.35">
      <c r="A92" s="10">
        <v>68</v>
      </c>
      <c r="B92" s="24">
        <v>19053.153394995046</v>
      </c>
      <c r="C92" s="24">
        <v>-109.15339499504626</v>
      </c>
    </row>
    <row r="93" spans="1:3" x14ac:dyDescent="0.35">
      <c r="A93" s="10">
        <v>69</v>
      </c>
      <c r="B93" s="24">
        <v>19108.997935464402</v>
      </c>
      <c r="C93" s="24">
        <v>396.00206453559804</v>
      </c>
    </row>
    <row r="94" spans="1:3" x14ac:dyDescent="0.35">
      <c r="A94" s="10">
        <v>70</v>
      </c>
      <c r="B94" s="24">
        <v>19164.842475933758</v>
      </c>
      <c r="C94" s="24">
        <v>-83.842475933757669</v>
      </c>
    </row>
    <row r="95" spans="1:3" x14ac:dyDescent="0.35">
      <c r="A95" s="10">
        <v>71</v>
      </c>
      <c r="B95" s="24">
        <v>19220.687016403113</v>
      </c>
      <c r="C95" s="24">
        <v>-679.68701640311338</v>
      </c>
    </row>
    <row r="96" spans="1:3" x14ac:dyDescent="0.35">
      <c r="A96" s="10">
        <v>72</v>
      </c>
      <c r="B96" s="24">
        <v>19276.531556872473</v>
      </c>
      <c r="C96" s="24">
        <v>204.46844312752728</v>
      </c>
    </row>
    <row r="97" spans="1:3" x14ac:dyDescent="0.35">
      <c r="A97" s="10">
        <v>73</v>
      </c>
      <c r="B97" s="24">
        <v>19332.376097341828</v>
      </c>
      <c r="C97" s="24">
        <v>-487.37609734182843</v>
      </c>
    </row>
    <row r="98" spans="1:3" x14ac:dyDescent="0.35">
      <c r="A98" s="10">
        <v>74</v>
      </c>
      <c r="B98" s="24">
        <v>19388.220637811184</v>
      </c>
      <c r="C98" s="24">
        <v>-86.220637811184133</v>
      </c>
    </row>
    <row r="99" spans="1:3" x14ac:dyDescent="0.35">
      <c r="A99" s="10">
        <v>75</v>
      </c>
      <c r="B99" s="24">
        <v>19444.06517828054</v>
      </c>
      <c r="C99" s="24">
        <v>-341.06517828053984</v>
      </c>
    </row>
    <row r="100" spans="1:3" x14ac:dyDescent="0.35">
      <c r="A100" s="10">
        <v>76</v>
      </c>
      <c r="B100" s="24">
        <v>19499.909718749896</v>
      </c>
      <c r="C100" s="24">
        <v>1633.0902812501045</v>
      </c>
    </row>
    <row r="101" spans="1:3" x14ac:dyDescent="0.35">
      <c r="A101" s="10">
        <v>77</v>
      </c>
      <c r="B101" s="24">
        <v>19555.754259219251</v>
      </c>
      <c r="C101" s="24">
        <v>-154.75425921925125</v>
      </c>
    </row>
    <row r="102" spans="1:3" x14ac:dyDescent="0.35">
      <c r="A102" s="10">
        <v>78</v>
      </c>
      <c r="B102" s="24">
        <v>19611.598799688607</v>
      </c>
      <c r="C102" s="24">
        <v>-555.59879968860696</v>
      </c>
    </row>
    <row r="103" spans="1:3" x14ac:dyDescent="0.35">
      <c r="A103" s="10">
        <v>79</v>
      </c>
      <c r="B103" s="24">
        <v>19667.443340157963</v>
      </c>
      <c r="C103" s="24">
        <v>275.55665984203733</v>
      </c>
    </row>
    <row r="104" spans="1:3" x14ac:dyDescent="0.35">
      <c r="A104" s="10">
        <v>80</v>
      </c>
      <c r="B104" s="24">
        <v>19723.287880627318</v>
      </c>
      <c r="C104" s="24">
        <v>-673.28788062731837</v>
      </c>
    </row>
    <row r="105" spans="1:3" x14ac:dyDescent="0.35">
      <c r="A105" s="10">
        <v>81</v>
      </c>
      <c r="B105" s="24">
        <v>19779.132421096678</v>
      </c>
      <c r="C105" s="24">
        <v>-78.132421096677717</v>
      </c>
    </row>
    <row r="106" spans="1:3" x14ac:dyDescent="0.35">
      <c r="A106" s="10">
        <v>82</v>
      </c>
      <c r="B106" s="24">
        <v>19834.976961566033</v>
      </c>
      <c r="C106" s="24">
        <v>-1408.9769615660334</v>
      </c>
    </row>
    <row r="107" spans="1:3" x14ac:dyDescent="0.35">
      <c r="A107" s="10">
        <v>83</v>
      </c>
      <c r="B107" s="24">
        <v>19890.821502035389</v>
      </c>
      <c r="C107" s="24">
        <v>-1331.8215020353891</v>
      </c>
    </row>
    <row r="108" spans="1:3" x14ac:dyDescent="0.35">
      <c r="A108" s="10">
        <v>84</v>
      </c>
      <c r="B108" s="24">
        <v>19946.666042504745</v>
      </c>
      <c r="C108" s="24">
        <v>-778.66604250474484</v>
      </c>
    </row>
    <row r="109" spans="1:3" x14ac:dyDescent="0.35">
      <c r="A109" s="10">
        <v>85</v>
      </c>
      <c r="B109" s="24">
        <v>20002.510582974101</v>
      </c>
      <c r="C109" s="24">
        <v>-2155.5105829741005</v>
      </c>
    </row>
    <row r="110" spans="1:3" x14ac:dyDescent="0.35">
      <c r="A110" s="10">
        <v>86</v>
      </c>
      <c r="B110" s="24">
        <v>20058.355123443456</v>
      </c>
      <c r="C110" s="24">
        <v>-590.35512344345625</v>
      </c>
    </row>
    <row r="111" spans="1:3" x14ac:dyDescent="0.35">
      <c r="A111" s="10">
        <v>87</v>
      </c>
      <c r="B111" s="24">
        <v>20114.199663912812</v>
      </c>
      <c r="C111" s="24">
        <v>-1414.199663912812</v>
      </c>
    </row>
    <row r="112" spans="1:3" x14ac:dyDescent="0.35">
      <c r="A112" s="10">
        <v>88</v>
      </c>
      <c r="B112" s="24">
        <v>20170.044204382168</v>
      </c>
      <c r="C112" s="24">
        <v>461.95579561783234</v>
      </c>
    </row>
    <row r="113" spans="1:3" x14ac:dyDescent="0.35">
      <c r="A113" s="10">
        <v>89</v>
      </c>
      <c r="B113" s="24">
        <v>20225.888744851523</v>
      </c>
      <c r="C113" s="24">
        <v>-399.88874485152337</v>
      </c>
    </row>
    <row r="114" spans="1:3" x14ac:dyDescent="0.35">
      <c r="A114" s="10">
        <v>90</v>
      </c>
      <c r="B114" s="24">
        <v>20281.733285320879</v>
      </c>
      <c r="C114" s="24">
        <v>-2060.7332853208791</v>
      </c>
    </row>
    <row r="115" spans="1:3" x14ac:dyDescent="0.35">
      <c r="A115" s="10">
        <v>91</v>
      </c>
      <c r="B115" s="24">
        <v>20337.577825790235</v>
      </c>
      <c r="C115" s="24">
        <v>-712.57782579023478</v>
      </c>
    </row>
    <row r="116" spans="1:3" x14ac:dyDescent="0.35">
      <c r="A116" s="10">
        <v>92</v>
      </c>
      <c r="B116" s="24">
        <v>20393.42236625959</v>
      </c>
      <c r="C116" s="24">
        <v>-1225.4223662595905</v>
      </c>
    </row>
    <row r="117" spans="1:3" x14ac:dyDescent="0.35">
      <c r="A117" s="10">
        <v>93</v>
      </c>
      <c r="B117" s="24">
        <v>20449.266906728946</v>
      </c>
      <c r="C117" s="24">
        <v>-643.2669067289462</v>
      </c>
    </row>
    <row r="118" spans="1:3" x14ac:dyDescent="0.35">
      <c r="A118" s="10">
        <v>94</v>
      </c>
      <c r="B118" s="24">
        <v>20505.111447198306</v>
      </c>
      <c r="C118" s="24">
        <v>-1958.1114471983055</v>
      </c>
    </row>
    <row r="119" spans="1:3" x14ac:dyDescent="0.35">
      <c r="A119" s="10">
        <v>95</v>
      </c>
      <c r="B119" s="24">
        <v>20560.955987667661</v>
      </c>
      <c r="C119" s="24">
        <v>-1090.9559876676612</v>
      </c>
    </row>
    <row r="120" spans="1:3" x14ac:dyDescent="0.35">
      <c r="A120" s="10">
        <v>96</v>
      </c>
      <c r="B120" s="24">
        <v>20616.800528137017</v>
      </c>
      <c r="C120" s="24">
        <v>-1054.800528137017</v>
      </c>
    </row>
    <row r="121" spans="1:3" x14ac:dyDescent="0.35">
      <c r="A121" s="10">
        <v>97</v>
      </c>
      <c r="B121" s="24">
        <v>20672.645068606373</v>
      </c>
      <c r="C121" s="24">
        <v>-1455.6450686063727</v>
      </c>
    </row>
    <row r="122" spans="1:3" x14ac:dyDescent="0.35">
      <c r="A122" s="10">
        <v>98</v>
      </c>
      <c r="B122" s="24">
        <v>20728.489609075728</v>
      </c>
      <c r="C122" s="24">
        <v>-250.48960907572837</v>
      </c>
    </row>
    <row r="123" spans="1:3" x14ac:dyDescent="0.35">
      <c r="A123" s="10">
        <v>99</v>
      </c>
      <c r="B123" s="24">
        <v>20784.334149545084</v>
      </c>
      <c r="C123" s="24">
        <v>-1230.3341495450841</v>
      </c>
    </row>
    <row r="124" spans="1:3" x14ac:dyDescent="0.35">
      <c r="A124" s="10">
        <v>100</v>
      </c>
      <c r="B124" s="24">
        <v>20840.17869001444</v>
      </c>
      <c r="C124" s="24">
        <v>1233.8213099855602</v>
      </c>
    </row>
    <row r="125" spans="1:3" x14ac:dyDescent="0.35">
      <c r="A125" s="10">
        <v>101</v>
      </c>
      <c r="B125" s="24">
        <v>20896.023230483795</v>
      </c>
      <c r="C125" s="24">
        <v>-262.02323048379549</v>
      </c>
    </row>
    <row r="126" spans="1:3" x14ac:dyDescent="0.35">
      <c r="A126" s="10">
        <v>102</v>
      </c>
      <c r="B126" s="24">
        <v>20951.867770953151</v>
      </c>
      <c r="C126" s="24">
        <v>-1811.8677709531512</v>
      </c>
    </row>
    <row r="127" spans="1:3" x14ac:dyDescent="0.35">
      <c r="A127" s="10">
        <v>103</v>
      </c>
      <c r="B127" s="24">
        <v>21007.712311422511</v>
      </c>
      <c r="C127" s="24">
        <v>-519.71231142251054</v>
      </c>
    </row>
    <row r="128" spans="1:3" x14ac:dyDescent="0.35">
      <c r="A128" s="10">
        <v>104</v>
      </c>
      <c r="B128" s="24">
        <v>21063.556851891866</v>
      </c>
      <c r="C128" s="24">
        <v>-442.55685189186624</v>
      </c>
    </row>
    <row r="129" spans="1:3" x14ac:dyDescent="0.35">
      <c r="A129" s="10">
        <v>105</v>
      </c>
      <c r="B129" s="24">
        <v>21119.401392361222</v>
      </c>
      <c r="C129" s="24">
        <v>-50.401392361221951</v>
      </c>
    </row>
    <row r="130" spans="1:3" x14ac:dyDescent="0.35">
      <c r="A130" s="10">
        <v>106</v>
      </c>
      <c r="B130" s="24">
        <v>21175.245932830578</v>
      </c>
      <c r="C130" s="24">
        <v>-754.24593283057766</v>
      </c>
    </row>
    <row r="131" spans="1:3" x14ac:dyDescent="0.35">
      <c r="A131" s="10">
        <v>107</v>
      </c>
      <c r="B131" s="24">
        <v>21231.090473299933</v>
      </c>
      <c r="C131" s="24">
        <v>-321.09047329993336</v>
      </c>
    </row>
    <row r="132" spans="1:3" x14ac:dyDescent="0.35">
      <c r="A132" s="10">
        <v>108</v>
      </c>
      <c r="B132" s="24">
        <v>21286.935013769289</v>
      </c>
      <c r="C132" s="24">
        <v>-655.93501376928907</v>
      </c>
    </row>
    <row r="133" spans="1:3" x14ac:dyDescent="0.35">
      <c r="A133" s="10">
        <v>109</v>
      </c>
      <c r="B133" s="24">
        <v>21342.779554238645</v>
      </c>
      <c r="C133" s="24">
        <v>-643.77955423864478</v>
      </c>
    </row>
    <row r="134" spans="1:3" x14ac:dyDescent="0.35">
      <c r="A134" s="10">
        <v>110</v>
      </c>
      <c r="B134" s="24">
        <v>21398.624094708</v>
      </c>
      <c r="C134" s="24">
        <v>277.37590529199952</v>
      </c>
    </row>
    <row r="135" spans="1:3" x14ac:dyDescent="0.35">
      <c r="A135" s="10">
        <v>111</v>
      </c>
      <c r="B135" s="24">
        <v>21454.468635177356</v>
      </c>
      <c r="C135" s="24">
        <v>-1243.4686351773562</v>
      </c>
    </row>
    <row r="136" spans="1:3" x14ac:dyDescent="0.35">
      <c r="A136" s="10">
        <v>112</v>
      </c>
      <c r="B136" s="24">
        <v>21510.313175646712</v>
      </c>
      <c r="C136" s="24">
        <v>2535.6868243532881</v>
      </c>
    </row>
    <row r="137" spans="1:3" x14ac:dyDescent="0.35">
      <c r="A137" s="10">
        <v>113</v>
      </c>
      <c r="B137" s="24">
        <v>21566.157716116068</v>
      </c>
      <c r="C137" s="24">
        <v>146.8422838839324</v>
      </c>
    </row>
    <row r="138" spans="1:3" x14ac:dyDescent="0.35">
      <c r="A138" s="10">
        <v>114</v>
      </c>
      <c r="B138" s="24">
        <v>21622.002256585423</v>
      </c>
      <c r="C138" s="24">
        <v>-1537.0022565854233</v>
      </c>
    </row>
    <row r="139" spans="1:3" x14ac:dyDescent="0.35">
      <c r="A139" s="10">
        <v>115</v>
      </c>
      <c r="B139" s="24">
        <v>21677.846797054779</v>
      </c>
      <c r="C139" s="24">
        <v>688.15320294522098</v>
      </c>
    </row>
    <row r="140" spans="1:3" x14ac:dyDescent="0.35">
      <c r="A140" s="10">
        <v>116</v>
      </c>
      <c r="B140" s="24">
        <v>21733.691337524138</v>
      </c>
      <c r="C140" s="24">
        <v>-182.69133752413836</v>
      </c>
    </row>
    <row r="141" spans="1:3" x14ac:dyDescent="0.35">
      <c r="A141" s="10">
        <v>117</v>
      </c>
      <c r="B141" s="24">
        <v>21789.535877993494</v>
      </c>
      <c r="C141" s="24">
        <v>-328.53587799349407</v>
      </c>
    </row>
    <row r="142" spans="1:3" x14ac:dyDescent="0.35">
      <c r="A142" s="10">
        <v>118</v>
      </c>
      <c r="B142" s="24">
        <v>21845.38041846285</v>
      </c>
      <c r="C142" s="24">
        <v>-356.38041846284978</v>
      </c>
    </row>
    <row r="143" spans="1:3" x14ac:dyDescent="0.35">
      <c r="A143" s="10">
        <v>119</v>
      </c>
      <c r="B143" s="24">
        <v>21901.224958932205</v>
      </c>
      <c r="C143" s="24">
        <v>-127.22495893220548</v>
      </c>
    </row>
    <row r="144" spans="1:3" x14ac:dyDescent="0.35">
      <c r="A144" s="10">
        <v>120</v>
      </c>
      <c r="B144" s="24">
        <v>21957.069499401561</v>
      </c>
      <c r="C144" s="24">
        <v>-424.06949940156119</v>
      </c>
    </row>
    <row r="145" spans="1:3" x14ac:dyDescent="0.35">
      <c r="A145" s="10">
        <v>121</v>
      </c>
      <c r="B145" s="24">
        <v>22012.914039870917</v>
      </c>
      <c r="C145" s="24">
        <v>5.0859601290831051</v>
      </c>
    </row>
    <row r="146" spans="1:3" x14ac:dyDescent="0.35">
      <c r="A146" s="10">
        <v>122</v>
      </c>
      <c r="B146" s="24">
        <v>22068.758580340273</v>
      </c>
      <c r="C146" s="24">
        <v>556.2414196597274</v>
      </c>
    </row>
    <row r="147" spans="1:3" x14ac:dyDescent="0.35">
      <c r="A147" s="10">
        <v>123</v>
      </c>
      <c r="B147" s="24">
        <v>22124.603120809628</v>
      </c>
      <c r="C147" s="24">
        <v>-482.60312080962831</v>
      </c>
    </row>
    <row r="148" spans="1:3" x14ac:dyDescent="0.35">
      <c r="A148" s="10">
        <v>124</v>
      </c>
      <c r="B148" s="24">
        <v>22180.447661278988</v>
      </c>
      <c r="C148" s="24">
        <v>3031.5523387210123</v>
      </c>
    </row>
    <row r="149" spans="1:3" x14ac:dyDescent="0.35">
      <c r="A149" s="10">
        <v>125</v>
      </c>
      <c r="B149" s="24">
        <v>22236.292201748343</v>
      </c>
      <c r="C149" s="24">
        <v>-79.292201748343359</v>
      </c>
    </row>
    <row r="150" spans="1:3" x14ac:dyDescent="0.35">
      <c r="A150" s="10">
        <v>126</v>
      </c>
      <c r="B150" s="24">
        <v>22292.136742217699</v>
      </c>
      <c r="C150" s="24">
        <v>97.863257782300934</v>
      </c>
    </row>
    <row r="151" spans="1:3" x14ac:dyDescent="0.35">
      <c r="A151" s="10">
        <v>127</v>
      </c>
      <c r="B151" s="24">
        <v>22347.981282687055</v>
      </c>
      <c r="C151" s="24">
        <v>1202.0187173129452</v>
      </c>
    </row>
    <row r="152" spans="1:3" x14ac:dyDescent="0.35">
      <c r="A152" s="10">
        <v>128</v>
      </c>
      <c r="B152" s="24">
        <v>22403.82582315641</v>
      </c>
      <c r="C152" s="24">
        <v>246.17417684358952</v>
      </c>
    </row>
    <row r="153" spans="1:3" x14ac:dyDescent="0.35">
      <c r="A153" s="10">
        <v>129</v>
      </c>
      <c r="B153" s="24">
        <v>22459.670363625766</v>
      </c>
      <c r="C153" s="24">
        <v>631.32963637423381</v>
      </c>
    </row>
    <row r="154" spans="1:3" x14ac:dyDescent="0.35">
      <c r="A154" s="10">
        <v>130</v>
      </c>
      <c r="B154" s="24">
        <v>22515.514904095122</v>
      </c>
      <c r="C154" s="24">
        <v>180.48509590487811</v>
      </c>
    </row>
    <row r="155" spans="1:3" x14ac:dyDescent="0.35">
      <c r="A155" s="10">
        <v>131</v>
      </c>
      <c r="B155" s="24">
        <v>22571.359444564478</v>
      </c>
      <c r="C155" s="24">
        <v>-414.3594445644776</v>
      </c>
    </row>
    <row r="156" spans="1:3" x14ac:dyDescent="0.35">
      <c r="A156" s="10">
        <v>132</v>
      </c>
      <c r="B156" s="24">
        <v>22627.203985033833</v>
      </c>
      <c r="C156" s="24">
        <v>361.79601496616669</v>
      </c>
    </row>
    <row r="157" spans="1:3" x14ac:dyDescent="0.35">
      <c r="A157" s="10">
        <v>133</v>
      </c>
      <c r="B157" s="24">
        <v>22683.048525503189</v>
      </c>
      <c r="C157" s="24">
        <v>-472.04852550318901</v>
      </c>
    </row>
    <row r="158" spans="1:3" x14ac:dyDescent="0.35">
      <c r="A158" s="10">
        <v>134</v>
      </c>
      <c r="B158" s="24">
        <v>22738.893065972545</v>
      </c>
      <c r="C158" s="24">
        <v>-642.89306597254472</v>
      </c>
    </row>
    <row r="159" spans="1:3" x14ac:dyDescent="0.35">
      <c r="A159" s="10">
        <v>135</v>
      </c>
      <c r="B159" s="24">
        <v>22794.7376064419</v>
      </c>
      <c r="C159" s="24">
        <v>-940.73760644190043</v>
      </c>
    </row>
    <row r="160" spans="1:3" x14ac:dyDescent="0.35">
      <c r="A160" s="10">
        <v>136</v>
      </c>
      <c r="B160" s="24">
        <v>22850.582146911256</v>
      </c>
      <c r="C160" s="24">
        <v>1638.4178530887439</v>
      </c>
    </row>
    <row r="161" spans="1:3" x14ac:dyDescent="0.35">
      <c r="A161" s="10">
        <v>137</v>
      </c>
      <c r="B161" s="24">
        <v>22906.426687380612</v>
      </c>
      <c r="C161" s="24">
        <v>-527.42668738061184</v>
      </c>
    </row>
    <row r="162" spans="1:3" x14ac:dyDescent="0.35">
      <c r="A162" s="10">
        <v>138</v>
      </c>
      <c r="B162" s="24">
        <v>22962.271227849971</v>
      </c>
      <c r="C162" s="24">
        <v>-1728.2712278499712</v>
      </c>
    </row>
    <row r="163" spans="1:3" x14ac:dyDescent="0.35">
      <c r="A163" s="10">
        <v>139</v>
      </c>
      <c r="B163" s="24">
        <v>23018.115768319327</v>
      </c>
      <c r="C163" s="24">
        <v>329.88423168067311</v>
      </c>
    </row>
    <row r="164" spans="1:3" x14ac:dyDescent="0.35">
      <c r="A164" s="10">
        <v>140</v>
      </c>
      <c r="B164" s="24">
        <v>23073.960308788683</v>
      </c>
      <c r="C164" s="24">
        <v>-779.9603087886826</v>
      </c>
    </row>
    <row r="165" spans="1:3" x14ac:dyDescent="0.35">
      <c r="A165" s="10">
        <v>141</v>
      </c>
      <c r="B165" s="24">
        <v>23129.804849258038</v>
      </c>
      <c r="C165" s="24">
        <v>607.1951507419617</v>
      </c>
    </row>
    <row r="166" spans="1:3" x14ac:dyDescent="0.35">
      <c r="A166" s="10">
        <v>142</v>
      </c>
      <c r="B166" s="24">
        <v>23185.649389727394</v>
      </c>
      <c r="C166" s="24">
        <v>-130.64938972739401</v>
      </c>
    </row>
    <row r="167" spans="1:3" x14ac:dyDescent="0.35">
      <c r="A167" s="10">
        <v>143</v>
      </c>
      <c r="B167" s="24">
        <v>23241.49393019675</v>
      </c>
      <c r="C167" s="24">
        <v>-946.49393019674972</v>
      </c>
    </row>
    <row r="168" spans="1:3" x14ac:dyDescent="0.35">
      <c r="A168" s="10">
        <v>144</v>
      </c>
      <c r="B168" s="24">
        <v>23297.338470666105</v>
      </c>
      <c r="C168" s="24">
        <v>242.66152933389458</v>
      </c>
    </row>
    <row r="169" spans="1:3" x14ac:dyDescent="0.35">
      <c r="A169" s="10">
        <v>145</v>
      </c>
      <c r="B169" s="24">
        <v>23353.183011135461</v>
      </c>
      <c r="C169" s="24">
        <v>-725.18301113546113</v>
      </c>
    </row>
    <row r="170" spans="1:3" x14ac:dyDescent="0.35">
      <c r="A170" s="10">
        <v>146</v>
      </c>
      <c r="B170" s="24">
        <v>23409.02755160482</v>
      </c>
      <c r="C170" s="24">
        <v>695.97244839517953</v>
      </c>
    </row>
    <row r="171" spans="1:3" x14ac:dyDescent="0.35">
      <c r="A171" s="10">
        <v>147</v>
      </c>
      <c r="B171" s="24">
        <v>23464.872092074176</v>
      </c>
      <c r="C171" s="24">
        <v>-105.87209207417618</v>
      </c>
    </row>
    <row r="172" spans="1:3" x14ac:dyDescent="0.35">
      <c r="A172" s="10">
        <v>148</v>
      </c>
      <c r="B172" s="24">
        <v>23520.716632543532</v>
      </c>
      <c r="C172" s="24">
        <v>1901.2833674564681</v>
      </c>
    </row>
    <row r="173" spans="1:3" x14ac:dyDescent="0.35">
      <c r="A173" s="10">
        <v>149</v>
      </c>
      <c r="B173" s="24">
        <v>23576.561173012888</v>
      </c>
      <c r="C173" s="24">
        <v>703.43882698711241</v>
      </c>
    </row>
    <row r="174" spans="1:3" x14ac:dyDescent="0.35">
      <c r="A174" s="10">
        <v>150</v>
      </c>
      <c r="B174" s="24">
        <v>23632.405713482243</v>
      </c>
      <c r="C174" s="24">
        <v>-1625.4057134822433</v>
      </c>
    </row>
    <row r="175" spans="1:3" x14ac:dyDescent="0.35">
      <c r="A175" s="10">
        <v>151</v>
      </c>
      <c r="B175" s="24">
        <v>23688.250253951599</v>
      </c>
      <c r="C175" s="24">
        <v>386.74974604840099</v>
      </c>
    </row>
    <row r="176" spans="1:3" x14ac:dyDescent="0.35">
      <c r="A176" s="10">
        <v>152</v>
      </c>
      <c r="B176" s="24">
        <v>23744.094794420955</v>
      </c>
      <c r="C176" s="24">
        <v>-502.09479442095471</v>
      </c>
    </row>
    <row r="177" spans="1:3" x14ac:dyDescent="0.35">
      <c r="A177" s="10">
        <v>153</v>
      </c>
      <c r="B177" s="24">
        <v>23799.93933489031</v>
      </c>
      <c r="C177" s="24">
        <v>1048.0606651096896</v>
      </c>
    </row>
    <row r="178" spans="1:3" x14ac:dyDescent="0.35">
      <c r="A178" s="10">
        <v>154</v>
      </c>
      <c r="B178" s="24">
        <v>23855.783875359666</v>
      </c>
      <c r="C178" s="24">
        <v>-526.78387535966613</v>
      </c>
    </row>
    <row r="179" spans="1:3" x14ac:dyDescent="0.35">
      <c r="A179" s="10">
        <v>155</v>
      </c>
      <c r="B179" s="24">
        <v>23911.628415829022</v>
      </c>
      <c r="C179" s="24">
        <v>-330.62841582902183</v>
      </c>
    </row>
    <row r="180" spans="1:3" x14ac:dyDescent="0.35">
      <c r="A180" s="10">
        <v>156</v>
      </c>
      <c r="B180" s="24">
        <v>23967.472956298378</v>
      </c>
      <c r="C180" s="24">
        <v>794.52704370162246</v>
      </c>
    </row>
    <row r="181" spans="1:3" x14ac:dyDescent="0.35">
      <c r="A181" s="10">
        <v>157</v>
      </c>
      <c r="B181" s="24">
        <v>24023.317496767733</v>
      </c>
      <c r="C181" s="24">
        <v>-1093.3174967677332</v>
      </c>
    </row>
    <row r="182" spans="1:3" x14ac:dyDescent="0.35">
      <c r="A182" s="10">
        <v>158</v>
      </c>
      <c r="B182" s="24">
        <v>24079.162037237089</v>
      </c>
      <c r="C182" s="24">
        <v>1528.837962762911</v>
      </c>
    </row>
    <row r="183" spans="1:3" x14ac:dyDescent="0.35">
      <c r="A183" s="10">
        <v>159</v>
      </c>
      <c r="B183" s="24">
        <v>24135.006577706445</v>
      </c>
      <c r="C183" s="24">
        <v>417.99342229355534</v>
      </c>
    </row>
    <row r="184" spans="1:3" x14ac:dyDescent="0.35">
      <c r="A184" s="10">
        <v>160</v>
      </c>
      <c r="B184" s="24">
        <v>24190.8511181758</v>
      </c>
      <c r="C184" s="24">
        <v>1440.1488818241996</v>
      </c>
    </row>
    <row r="185" spans="1:3" x14ac:dyDescent="0.35">
      <c r="A185" s="10">
        <v>161</v>
      </c>
      <c r="B185" s="24">
        <v>24246.69565864516</v>
      </c>
      <c r="C185" s="24">
        <v>790.30434135484029</v>
      </c>
    </row>
    <row r="186" spans="1:3" x14ac:dyDescent="0.35">
      <c r="A186" s="10">
        <v>162</v>
      </c>
      <c r="B186" s="24">
        <v>24302.540199114515</v>
      </c>
      <c r="C186" s="24">
        <v>-1062.5401991145154</v>
      </c>
    </row>
    <row r="187" spans="1:3" x14ac:dyDescent="0.35">
      <c r="A187" s="10">
        <v>163</v>
      </c>
      <c r="B187" s="24">
        <v>24358.384739583871</v>
      </c>
      <c r="C187" s="24">
        <v>218.61526041612888</v>
      </c>
    </row>
    <row r="188" spans="1:3" x14ac:dyDescent="0.35">
      <c r="A188" s="10">
        <v>164</v>
      </c>
      <c r="B188" s="24">
        <v>24414.229280053227</v>
      </c>
      <c r="C188" s="24">
        <v>391.77071994677317</v>
      </c>
    </row>
    <row r="189" spans="1:3" x14ac:dyDescent="0.35">
      <c r="A189" s="10">
        <v>165</v>
      </c>
      <c r="B189" s="24">
        <v>24470.073820522583</v>
      </c>
      <c r="C189" s="24">
        <v>1246.9261794774175</v>
      </c>
    </row>
    <row r="190" spans="1:3" x14ac:dyDescent="0.35">
      <c r="A190" s="10">
        <v>166</v>
      </c>
      <c r="B190" s="24">
        <v>24525.918360991938</v>
      </c>
      <c r="C190" s="24">
        <v>-780.91836099193824</v>
      </c>
    </row>
    <row r="191" spans="1:3" x14ac:dyDescent="0.35">
      <c r="A191" s="10">
        <v>167</v>
      </c>
      <c r="B191" s="24">
        <v>24581.762901461298</v>
      </c>
      <c r="C191" s="24">
        <v>-50.762901461297588</v>
      </c>
    </row>
    <row r="192" spans="1:3" x14ac:dyDescent="0.35">
      <c r="A192" s="10">
        <v>168</v>
      </c>
      <c r="B192" s="24">
        <v>24637.607441930653</v>
      </c>
      <c r="C192" s="24">
        <v>72.392558069346705</v>
      </c>
    </row>
    <row r="193" spans="1:3" x14ac:dyDescent="0.35">
      <c r="A193" s="10">
        <v>169</v>
      </c>
      <c r="B193" s="24">
        <v>24693.451982400009</v>
      </c>
      <c r="C193" s="24">
        <v>-1063.451982400009</v>
      </c>
    </row>
    <row r="194" spans="1:3" x14ac:dyDescent="0.35">
      <c r="A194" s="10">
        <v>170</v>
      </c>
      <c r="B194" s="24">
        <v>24749.296522869365</v>
      </c>
      <c r="C194" s="24">
        <v>1347.7034771306353</v>
      </c>
    </row>
    <row r="195" spans="1:3" x14ac:dyDescent="0.35">
      <c r="A195" s="10">
        <v>171</v>
      </c>
      <c r="B195" s="24">
        <v>24805.14106333872</v>
      </c>
      <c r="C195" s="24">
        <v>-841.14106333872041</v>
      </c>
    </row>
    <row r="196" spans="1:3" x14ac:dyDescent="0.35">
      <c r="A196" s="10">
        <v>172</v>
      </c>
      <c r="B196" s="24">
        <v>24860.985603808076</v>
      </c>
      <c r="C196" s="24">
        <v>1648.0143961919239</v>
      </c>
    </row>
    <row r="197" spans="1:3" x14ac:dyDescent="0.35">
      <c r="A197" s="10">
        <v>173</v>
      </c>
      <c r="B197" s="24">
        <v>24916.830144277432</v>
      </c>
      <c r="C197" s="24">
        <v>292.16985572256817</v>
      </c>
    </row>
    <row r="198" spans="1:3" x14ac:dyDescent="0.35">
      <c r="A198" s="10">
        <v>174</v>
      </c>
      <c r="B198" s="24">
        <v>24972.674684746788</v>
      </c>
      <c r="C198" s="24">
        <v>-1038.6746847467875</v>
      </c>
    </row>
    <row r="199" spans="1:3" x14ac:dyDescent="0.35">
      <c r="A199" s="10">
        <v>175</v>
      </c>
      <c r="B199" s="24">
        <v>25028.519225216143</v>
      </c>
      <c r="C199" s="24">
        <v>2810.4807747838568</v>
      </c>
    </row>
    <row r="200" spans="1:3" x14ac:dyDescent="0.35">
      <c r="A200" s="10">
        <v>176</v>
      </c>
      <c r="B200" s="24">
        <v>25084.363765685499</v>
      </c>
      <c r="C200" s="24">
        <v>-335.36376568549895</v>
      </c>
    </row>
    <row r="201" spans="1:3" x14ac:dyDescent="0.35">
      <c r="A201" s="10">
        <v>177</v>
      </c>
      <c r="B201" s="24">
        <v>25140.208306154855</v>
      </c>
      <c r="C201" s="24">
        <v>-217.20830615485465</v>
      </c>
    </row>
    <row r="202" spans="1:3" x14ac:dyDescent="0.35">
      <c r="A202" s="10">
        <v>178</v>
      </c>
      <c r="B202" s="24">
        <v>25196.05284662421</v>
      </c>
      <c r="C202" s="24">
        <v>644.94715337578964</v>
      </c>
    </row>
    <row r="203" spans="1:3" x14ac:dyDescent="0.35">
      <c r="A203" s="10">
        <v>179</v>
      </c>
      <c r="B203" s="24">
        <v>25251.897387093566</v>
      </c>
      <c r="C203" s="24">
        <v>1082.1026129064339</v>
      </c>
    </row>
    <row r="204" spans="1:3" ht="15" thickBot="1" x14ac:dyDescent="0.4">
      <c r="A204" s="11">
        <v>180</v>
      </c>
      <c r="B204" s="25">
        <v>25307.741927562922</v>
      </c>
      <c r="C204" s="25">
        <v>605.25807243707823</v>
      </c>
    </row>
  </sheetData>
  <mergeCells count="1">
    <mergeCell ref="C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E298-CB9A-4CDC-92BB-87C0F116695A}">
  <dimension ref="A1:P181"/>
  <sheetViews>
    <sheetView workbookViewId="0">
      <selection activeCell="G8" sqref="G8"/>
    </sheetView>
  </sheetViews>
  <sheetFormatPr defaultRowHeight="14.5" x14ac:dyDescent="0.35"/>
  <cols>
    <col min="1" max="1" width="11.08984375" bestFit="1" customWidth="1"/>
    <col min="2" max="2" width="7.26953125" customWidth="1"/>
    <col min="3" max="3" width="20.6328125" style="7" bestFit="1" customWidth="1"/>
    <col min="4" max="4" width="5.90625" customWidth="1"/>
    <col min="5" max="5" width="12.453125" bestFit="1" customWidth="1"/>
  </cols>
  <sheetData>
    <row r="1" spans="1:16" ht="15" thickBot="1" x14ac:dyDescent="0.4">
      <c r="A1" s="76" t="s">
        <v>174</v>
      </c>
      <c r="B1" s="77" t="s">
        <v>175</v>
      </c>
      <c r="C1" s="83" t="s">
        <v>4</v>
      </c>
      <c r="D1" s="77" t="s">
        <v>184</v>
      </c>
      <c r="E1" s="79" t="s">
        <v>211</v>
      </c>
    </row>
    <row r="2" spans="1:16" ht="15" thickBot="1" x14ac:dyDescent="0.4">
      <c r="A2" s="60" t="s">
        <v>0</v>
      </c>
      <c r="B2" s="61" t="str">
        <f t="shared" ref="B2:B33" si="0">MID(A2,6,4)</f>
        <v>2005</v>
      </c>
      <c r="C2" s="84">
        <v>14615</v>
      </c>
      <c r="D2" s="61">
        <v>1</v>
      </c>
      <c r="E2" s="64">
        <f>D2*D2</f>
        <v>1</v>
      </c>
      <c r="G2" s="113" t="s">
        <v>243</v>
      </c>
      <c r="H2" s="114"/>
      <c r="I2" s="114"/>
      <c r="J2" s="114"/>
      <c r="K2" s="114"/>
      <c r="L2" s="114"/>
      <c r="M2" s="114"/>
      <c r="N2" s="114"/>
      <c r="O2" s="114"/>
      <c r="P2" s="115"/>
    </row>
    <row r="3" spans="1:16" x14ac:dyDescent="0.35">
      <c r="A3" s="60" t="s">
        <v>1</v>
      </c>
      <c r="B3" s="61" t="str">
        <f t="shared" si="0"/>
        <v>2005</v>
      </c>
      <c r="C3" s="84">
        <v>14846</v>
      </c>
      <c r="D3" s="61">
        <v>2</v>
      </c>
      <c r="E3" s="64">
        <f t="shared" ref="E3:E66" si="1">D3*D3</f>
        <v>4</v>
      </c>
    </row>
    <row r="4" spans="1:16" x14ac:dyDescent="0.35">
      <c r="A4" s="60" t="s">
        <v>2</v>
      </c>
      <c r="B4" s="61" t="str">
        <f t="shared" si="0"/>
        <v>2005</v>
      </c>
      <c r="C4" s="84">
        <v>14885</v>
      </c>
      <c r="D4" s="61">
        <v>3</v>
      </c>
      <c r="E4" s="64">
        <f t="shared" si="1"/>
        <v>9</v>
      </c>
    </row>
    <row r="5" spans="1:16" x14ac:dyDescent="0.35">
      <c r="A5" s="60" t="s">
        <v>3</v>
      </c>
      <c r="B5" s="61" t="str">
        <f t="shared" si="0"/>
        <v>2005</v>
      </c>
      <c r="C5" s="84">
        <v>17103</v>
      </c>
      <c r="D5" s="61">
        <v>4</v>
      </c>
      <c r="E5" s="64">
        <f t="shared" si="1"/>
        <v>16</v>
      </c>
    </row>
    <row r="6" spans="1:16" x14ac:dyDescent="0.35">
      <c r="A6" s="60" t="s">
        <v>5</v>
      </c>
      <c r="B6" s="61" t="str">
        <f t="shared" si="0"/>
        <v>2006</v>
      </c>
      <c r="C6" s="84">
        <v>15257</v>
      </c>
      <c r="D6" s="61">
        <v>5</v>
      </c>
      <c r="E6" s="64">
        <f t="shared" si="1"/>
        <v>25</v>
      </c>
    </row>
    <row r="7" spans="1:16" x14ac:dyDescent="0.35">
      <c r="A7" s="60" t="s">
        <v>6</v>
      </c>
      <c r="B7" s="61" t="str">
        <f t="shared" si="0"/>
        <v>2006</v>
      </c>
      <c r="C7" s="84">
        <v>14681</v>
      </c>
      <c r="D7" s="61">
        <v>6</v>
      </c>
      <c r="E7" s="64">
        <f t="shared" si="1"/>
        <v>36</v>
      </c>
    </row>
    <row r="8" spans="1:16" x14ac:dyDescent="0.35">
      <c r="A8" s="60" t="s">
        <v>7</v>
      </c>
      <c r="B8" s="61" t="str">
        <f t="shared" si="0"/>
        <v>2006</v>
      </c>
      <c r="C8" s="84">
        <v>16174</v>
      </c>
      <c r="D8" s="61">
        <v>7</v>
      </c>
      <c r="E8" s="64">
        <f t="shared" si="1"/>
        <v>49</v>
      </c>
    </row>
    <row r="9" spans="1:16" x14ac:dyDescent="0.35">
      <c r="A9" s="60" t="s">
        <v>8</v>
      </c>
      <c r="B9" s="61" t="str">
        <f t="shared" si="0"/>
        <v>2006</v>
      </c>
      <c r="C9" s="84">
        <v>15225</v>
      </c>
      <c r="D9" s="61">
        <v>8</v>
      </c>
      <c r="E9" s="64">
        <f t="shared" si="1"/>
        <v>64</v>
      </c>
    </row>
    <row r="10" spans="1:16" x14ac:dyDescent="0.35">
      <c r="A10" s="60" t="s">
        <v>177</v>
      </c>
      <c r="B10" s="61" t="str">
        <f t="shared" si="0"/>
        <v>2006</v>
      </c>
      <c r="C10" s="84">
        <v>16271</v>
      </c>
      <c r="D10" s="61">
        <v>9</v>
      </c>
      <c r="E10" s="64">
        <f t="shared" si="1"/>
        <v>81</v>
      </c>
    </row>
    <row r="11" spans="1:16" x14ac:dyDescent="0.35">
      <c r="A11" s="60" t="s">
        <v>9</v>
      </c>
      <c r="B11" s="61" t="str">
        <f t="shared" si="0"/>
        <v>2006</v>
      </c>
      <c r="C11" s="84">
        <v>15720</v>
      </c>
      <c r="D11" s="61">
        <v>10</v>
      </c>
      <c r="E11" s="64">
        <f t="shared" si="1"/>
        <v>100</v>
      </c>
    </row>
    <row r="12" spans="1:16" x14ac:dyDescent="0.35">
      <c r="A12" s="60" t="s">
        <v>10</v>
      </c>
      <c r="B12" s="61" t="str">
        <f t="shared" si="0"/>
        <v>2006</v>
      </c>
      <c r="C12" s="84">
        <v>15426</v>
      </c>
      <c r="D12" s="61">
        <v>11</v>
      </c>
      <c r="E12" s="64">
        <f t="shared" si="1"/>
        <v>121</v>
      </c>
    </row>
    <row r="13" spans="1:16" x14ac:dyDescent="0.35">
      <c r="A13" s="60" t="s">
        <v>11</v>
      </c>
      <c r="B13" s="61" t="str">
        <f t="shared" si="0"/>
        <v>2006</v>
      </c>
      <c r="C13" s="84">
        <v>16092</v>
      </c>
      <c r="D13" s="61">
        <v>12</v>
      </c>
      <c r="E13" s="64">
        <f t="shared" si="1"/>
        <v>144</v>
      </c>
    </row>
    <row r="14" spans="1:16" x14ac:dyDescent="0.35">
      <c r="A14" s="60" t="s">
        <v>12</v>
      </c>
      <c r="B14" s="61" t="str">
        <f t="shared" si="0"/>
        <v>2006</v>
      </c>
      <c r="C14" s="84">
        <v>15483</v>
      </c>
      <c r="D14" s="61">
        <v>13</v>
      </c>
      <c r="E14" s="64">
        <f t="shared" si="1"/>
        <v>169</v>
      </c>
    </row>
    <row r="15" spans="1:16" x14ac:dyDescent="0.35">
      <c r="A15" s="60" t="s">
        <v>13</v>
      </c>
      <c r="B15" s="61" t="str">
        <f t="shared" si="0"/>
        <v>2006</v>
      </c>
      <c r="C15" s="84">
        <v>16382</v>
      </c>
      <c r="D15" s="61">
        <v>14</v>
      </c>
      <c r="E15" s="64">
        <f t="shared" si="1"/>
        <v>196</v>
      </c>
    </row>
    <row r="16" spans="1:16" x14ac:dyDescent="0.35">
      <c r="A16" s="60" t="s">
        <v>14</v>
      </c>
      <c r="B16" s="61" t="str">
        <f t="shared" si="0"/>
        <v>2006</v>
      </c>
      <c r="C16" s="84">
        <v>16252</v>
      </c>
      <c r="D16" s="61">
        <v>15</v>
      </c>
      <c r="E16" s="64">
        <f t="shared" si="1"/>
        <v>225</v>
      </c>
    </row>
    <row r="17" spans="1:5" x14ac:dyDescent="0.35">
      <c r="A17" s="60" t="s">
        <v>15</v>
      </c>
      <c r="B17" s="61" t="str">
        <f t="shared" si="0"/>
        <v>2006</v>
      </c>
      <c r="C17" s="84">
        <v>18055</v>
      </c>
      <c r="D17" s="61">
        <v>16</v>
      </c>
      <c r="E17" s="64">
        <f t="shared" si="1"/>
        <v>256</v>
      </c>
    </row>
    <row r="18" spans="1:5" x14ac:dyDescent="0.35">
      <c r="A18" s="60" t="s">
        <v>16</v>
      </c>
      <c r="B18" s="61" t="str">
        <f t="shared" si="0"/>
        <v>2007</v>
      </c>
      <c r="C18" s="84">
        <v>16985</v>
      </c>
      <c r="D18" s="61">
        <v>17</v>
      </c>
      <c r="E18" s="64">
        <f t="shared" si="1"/>
        <v>289</v>
      </c>
    </row>
    <row r="19" spans="1:5" x14ac:dyDescent="0.35">
      <c r="A19" s="60" t="s">
        <v>17</v>
      </c>
      <c r="B19" s="61" t="str">
        <f t="shared" si="0"/>
        <v>2007</v>
      </c>
      <c r="C19" s="84">
        <v>15822</v>
      </c>
      <c r="D19" s="61">
        <v>18</v>
      </c>
      <c r="E19" s="64">
        <f t="shared" si="1"/>
        <v>324</v>
      </c>
    </row>
    <row r="20" spans="1:5" x14ac:dyDescent="0.35">
      <c r="A20" s="60" t="s">
        <v>18</v>
      </c>
      <c r="B20" s="61" t="str">
        <f t="shared" si="0"/>
        <v>2007</v>
      </c>
      <c r="C20" s="84">
        <v>17258</v>
      </c>
      <c r="D20" s="61">
        <v>19</v>
      </c>
      <c r="E20" s="64">
        <f t="shared" si="1"/>
        <v>361</v>
      </c>
    </row>
    <row r="21" spans="1:5" x14ac:dyDescent="0.35">
      <c r="A21" s="60" t="s">
        <v>19</v>
      </c>
      <c r="B21" s="61" t="str">
        <f t="shared" si="0"/>
        <v>2007</v>
      </c>
      <c r="C21" s="84">
        <v>16532</v>
      </c>
      <c r="D21" s="61">
        <v>20</v>
      </c>
      <c r="E21" s="64">
        <f t="shared" si="1"/>
        <v>400</v>
      </c>
    </row>
    <row r="22" spans="1:5" x14ac:dyDescent="0.35">
      <c r="A22" s="60" t="s">
        <v>178</v>
      </c>
      <c r="B22" s="61" t="str">
        <f t="shared" si="0"/>
        <v>2007</v>
      </c>
      <c r="C22" s="84">
        <v>17279</v>
      </c>
      <c r="D22" s="61">
        <v>21</v>
      </c>
      <c r="E22" s="64">
        <f t="shared" si="1"/>
        <v>441</v>
      </c>
    </row>
    <row r="23" spans="1:5" x14ac:dyDescent="0.35">
      <c r="A23" s="60" t="s">
        <v>20</v>
      </c>
      <c r="B23" s="61" t="str">
        <f t="shared" si="0"/>
        <v>2007</v>
      </c>
      <c r="C23" s="84">
        <v>16497</v>
      </c>
      <c r="D23" s="61">
        <v>22</v>
      </c>
      <c r="E23" s="64">
        <f t="shared" si="1"/>
        <v>484</v>
      </c>
    </row>
    <row r="24" spans="1:5" x14ac:dyDescent="0.35">
      <c r="A24" s="60" t="s">
        <v>21</v>
      </c>
      <c r="B24" s="61" t="str">
        <f t="shared" si="0"/>
        <v>2007</v>
      </c>
      <c r="C24" s="84">
        <v>16542</v>
      </c>
      <c r="D24" s="61">
        <v>23</v>
      </c>
      <c r="E24" s="64">
        <f t="shared" si="1"/>
        <v>529</v>
      </c>
    </row>
    <row r="25" spans="1:5" x14ac:dyDescent="0.35">
      <c r="A25" s="60" t="s">
        <v>22</v>
      </c>
      <c r="B25" s="61" t="str">
        <f t="shared" si="0"/>
        <v>2007</v>
      </c>
      <c r="C25" s="84">
        <v>16992</v>
      </c>
      <c r="D25" s="61">
        <v>24</v>
      </c>
      <c r="E25" s="64">
        <f t="shared" si="1"/>
        <v>576</v>
      </c>
    </row>
    <row r="26" spans="1:5" x14ac:dyDescent="0.35">
      <c r="A26" s="60" t="s">
        <v>23</v>
      </c>
      <c r="B26" s="61" t="str">
        <f t="shared" si="0"/>
        <v>2007</v>
      </c>
      <c r="C26" s="84">
        <v>15966</v>
      </c>
      <c r="D26" s="61">
        <v>25</v>
      </c>
      <c r="E26" s="64">
        <f t="shared" si="1"/>
        <v>625</v>
      </c>
    </row>
    <row r="27" spans="1:5" x14ac:dyDescent="0.35">
      <c r="A27" s="60" t="s">
        <v>24</v>
      </c>
      <c r="B27" s="61" t="str">
        <f t="shared" si="0"/>
        <v>2007</v>
      </c>
      <c r="C27" s="84">
        <v>17264</v>
      </c>
      <c r="D27" s="61">
        <v>26</v>
      </c>
      <c r="E27" s="64">
        <f t="shared" si="1"/>
        <v>676</v>
      </c>
    </row>
    <row r="28" spans="1:5" x14ac:dyDescent="0.35">
      <c r="A28" s="60" t="s">
        <v>25</v>
      </c>
      <c r="B28" s="61" t="str">
        <f t="shared" si="0"/>
        <v>2007</v>
      </c>
      <c r="C28" s="84">
        <v>16713</v>
      </c>
      <c r="D28" s="61">
        <v>27</v>
      </c>
      <c r="E28" s="64">
        <f t="shared" si="1"/>
        <v>729</v>
      </c>
    </row>
    <row r="29" spans="1:5" x14ac:dyDescent="0.35">
      <c r="A29" s="60" t="s">
        <v>26</v>
      </c>
      <c r="B29" s="61" t="str">
        <f t="shared" si="0"/>
        <v>2007</v>
      </c>
      <c r="C29" s="84">
        <v>18434</v>
      </c>
      <c r="D29" s="61">
        <v>28</v>
      </c>
      <c r="E29" s="64">
        <f t="shared" si="1"/>
        <v>784</v>
      </c>
    </row>
    <row r="30" spans="1:5" x14ac:dyDescent="0.35">
      <c r="A30" s="60" t="s">
        <v>27</v>
      </c>
      <c r="B30" s="61" t="str">
        <f t="shared" si="0"/>
        <v>2008</v>
      </c>
      <c r="C30" s="84">
        <v>17449</v>
      </c>
      <c r="D30" s="61">
        <v>29</v>
      </c>
      <c r="E30" s="64">
        <f t="shared" si="1"/>
        <v>841</v>
      </c>
    </row>
    <row r="31" spans="1:5" x14ac:dyDescent="0.35">
      <c r="A31" s="60" t="s">
        <v>28</v>
      </c>
      <c r="B31" s="61" t="str">
        <f t="shared" si="0"/>
        <v>2008</v>
      </c>
      <c r="C31" s="84">
        <v>17201</v>
      </c>
      <c r="D31" s="61">
        <v>30</v>
      </c>
      <c r="E31" s="64">
        <f t="shared" si="1"/>
        <v>900</v>
      </c>
    </row>
    <row r="32" spans="1:5" x14ac:dyDescent="0.35">
      <c r="A32" s="60" t="s">
        <v>29</v>
      </c>
      <c r="B32" s="61" t="str">
        <f t="shared" si="0"/>
        <v>2008</v>
      </c>
      <c r="C32" s="84">
        <v>17719</v>
      </c>
      <c r="D32" s="61">
        <v>31</v>
      </c>
      <c r="E32" s="64">
        <f t="shared" si="1"/>
        <v>961</v>
      </c>
    </row>
    <row r="33" spans="1:5" x14ac:dyDescent="0.35">
      <c r="A33" s="60" t="s">
        <v>30</v>
      </c>
      <c r="B33" s="61" t="str">
        <f t="shared" si="0"/>
        <v>2008</v>
      </c>
      <c r="C33" s="84">
        <v>17143</v>
      </c>
      <c r="D33" s="61">
        <v>32</v>
      </c>
      <c r="E33" s="64">
        <f t="shared" si="1"/>
        <v>1024</v>
      </c>
    </row>
    <row r="34" spans="1:5" x14ac:dyDescent="0.35">
      <c r="A34" s="60" t="s">
        <v>179</v>
      </c>
      <c r="B34" s="61" t="str">
        <f t="shared" ref="B34:B65" si="2">MID(A34,6,4)</f>
        <v>2008</v>
      </c>
      <c r="C34" s="84">
        <v>17871</v>
      </c>
      <c r="D34" s="61">
        <v>33</v>
      </c>
      <c r="E34" s="64">
        <f t="shared" si="1"/>
        <v>1089</v>
      </c>
    </row>
    <row r="35" spans="1:5" x14ac:dyDescent="0.35">
      <c r="A35" s="60" t="s">
        <v>31</v>
      </c>
      <c r="B35" s="61" t="str">
        <f t="shared" si="2"/>
        <v>2008</v>
      </c>
      <c r="C35" s="84">
        <v>17038</v>
      </c>
      <c r="D35" s="61">
        <v>34</v>
      </c>
      <c r="E35" s="64">
        <f t="shared" si="1"/>
        <v>1156</v>
      </c>
    </row>
    <row r="36" spans="1:5" x14ac:dyDescent="0.35">
      <c r="A36" s="60" t="s">
        <v>32</v>
      </c>
      <c r="B36" s="61" t="str">
        <f t="shared" si="2"/>
        <v>2008</v>
      </c>
      <c r="C36" s="84">
        <v>17413</v>
      </c>
      <c r="D36" s="61">
        <v>35</v>
      </c>
      <c r="E36" s="64">
        <f t="shared" si="1"/>
        <v>1225</v>
      </c>
    </row>
    <row r="37" spans="1:5" x14ac:dyDescent="0.35">
      <c r="A37" s="60" t="s">
        <v>33</v>
      </c>
      <c r="B37" s="61" t="str">
        <f t="shared" si="2"/>
        <v>2008</v>
      </c>
      <c r="C37" s="84">
        <v>17200</v>
      </c>
      <c r="D37" s="61">
        <v>36</v>
      </c>
      <c r="E37" s="64">
        <f t="shared" si="1"/>
        <v>1296</v>
      </c>
    </row>
    <row r="38" spans="1:5" x14ac:dyDescent="0.35">
      <c r="A38" s="60" t="s">
        <v>34</v>
      </c>
      <c r="B38" s="61" t="str">
        <f t="shared" si="2"/>
        <v>2008</v>
      </c>
      <c r="C38" s="84">
        <v>17176</v>
      </c>
      <c r="D38" s="61">
        <v>37</v>
      </c>
      <c r="E38" s="64">
        <f t="shared" si="1"/>
        <v>1369</v>
      </c>
    </row>
    <row r="39" spans="1:5" x14ac:dyDescent="0.35">
      <c r="A39" s="60" t="s">
        <v>35</v>
      </c>
      <c r="B39" s="61" t="str">
        <f t="shared" si="2"/>
        <v>2008</v>
      </c>
      <c r="C39" s="84">
        <v>18019</v>
      </c>
      <c r="D39" s="61">
        <v>38</v>
      </c>
      <c r="E39" s="64">
        <f t="shared" si="1"/>
        <v>1444</v>
      </c>
    </row>
    <row r="40" spans="1:5" x14ac:dyDescent="0.35">
      <c r="A40" s="60" t="s">
        <v>36</v>
      </c>
      <c r="B40" s="61" t="str">
        <f t="shared" si="2"/>
        <v>2008</v>
      </c>
      <c r="C40" s="84">
        <v>16975</v>
      </c>
      <c r="D40" s="61">
        <v>39</v>
      </c>
      <c r="E40" s="64">
        <f t="shared" si="1"/>
        <v>1521</v>
      </c>
    </row>
    <row r="41" spans="1:5" x14ac:dyDescent="0.35">
      <c r="A41" s="60" t="s">
        <v>37</v>
      </c>
      <c r="B41" s="61" t="str">
        <f t="shared" si="2"/>
        <v>2008</v>
      </c>
      <c r="C41" s="84">
        <v>19653</v>
      </c>
      <c r="D41" s="61">
        <v>40</v>
      </c>
      <c r="E41" s="64">
        <f t="shared" si="1"/>
        <v>1600</v>
      </c>
    </row>
    <row r="42" spans="1:5" x14ac:dyDescent="0.35">
      <c r="A42" s="60" t="s">
        <v>38</v>
      </c>
      <c r="B42" s="61" t="str">
        <f t="shared" si="2"/>
        <v>2009</v>
      </c>
      <c r="C42" s="84">
        <v>17741</v>
      </c>
      <c r="D42" s="61">
        <v>41</v>
      </c>
      <c r="E42" s="64">
        <f t="shared" si="1"/>
        <v>1681</v>
      </c>
    </row>
    <row r="43" spans="1:5" x14ac:dyDescent="0.35">
      <c r="A43" s="60" t="s">
        <v>39</v>
      </c>
      <c r="B43" s="61" t="str">
        <f t="shared" si="2"/>
        <v>2009</v>
      </c>
      <c r="C43" s="84">
        <v>17028</v>
      </c>
      <c r="D43" s="61">
        <v>42</v>
      </c>
      <c r="E43" s="64">
        <f t="shared" si="1"/>
        <v>1764</v>
      </c>
    </row>
    <row r="44" spans="1:5" x14ac:dyDescent="0.35">
      <c r="A44" s="60" t="s">
        <v>40</v>
      </c>
      <c r="B44" s="61" t="str">
        <f t="shared" si="2"/>
        <v>2009</v>
      </c>
      <c r="C44" s="84">
        <v>18501</v>
      </c>
      <c r="D44" s="61">
        <v>43</v>
      </c>
      <c r="E44" s="64">
        <f t="shared" si="1"/>
        <v>1849</v>
      </c>
    </row>
    <row r="45" spans="1:5" x14ac:dyDescent="0.35">
      <c r="A45" s="60" t="s">
        <v>41</v>
      </c>
      <c r="B45" s="61" t="str">
        <f t="shared" si="2"/>
        <v>2009</v>
      </c>
      <c r="C45" s="84">
        <v>18226</v>
      </c>
      <c r="D45" s="61">
        <v>44</v>
      </c>
      <c r="E45" s="64">
        <f t="shared" si="1"/>
        <v>1936</v>
      </c>
    </row>
    <row r="46" spans="1:5" x14ac:dyDescent="0.35">
      <c r="A46" s="60" t="s">
        <v>180</v>
      </c>
      <c r="B46" s="61" t="str">
        <f t="shared" si="2"/>
        <v>2009</v>
      </c>
      <c r="C46" s="84">
        <v>18146</v>
      </c>
      <c r="D46" s="61">
        <v>45</v>
      </c>
      <c r="E46" s="64">
        <f t="shared" si="1"/>
        <v>2025</v>
      </c>
    </row>
    <row r="47" spans="1:5" x14ac:dyDescent="0.35">
      <c r="A47" s="60" t="s">
        <v>42</v>
      </c>
      <c r="B47" s="61" t="str">
        <f t="shared" si="2"/>
        <v>2009</v>
      </c>
      <c r="C47" s="84">
        <v>17944</v>
      </c>
      <c r="D47" s="61">
        <v>46</v>
      </c>
      <c r="E47" s="64">
        <f t="shared" si="1"/>
        <v>2116</v>
      </c>
    </row>
    <row r="48" spans="1:5" x14ac:dyDescent="0.35">
      <c r="A48" s="60" t="s">
        <v>43</v>
      </c>
      <c r="B48" s="61" t="str">
        <f t="shared" si="2"/>
        <v>2009</v>
      </c>
      <c r="C48" s="84">
        <v>17957</v>
      </c>
      <c r="D48" s="61">
        <v>47</v>
      </c>
      <c r="E48" s="64">
        <f t="shared" si="1"/>
        <v>2209</v>
      </c>
    </row>
    <row r="49" spans="1:5" x14ac:dyDescent="0.35">
      <c r="A49" s="60" t="s">
        <v>44</v>
      </c>
      <c r="B49" s="61" t="str">
        <f t="shared" si="2"/>
        <v>2009</v>
      </c>
      <c r="C49" s="84">
        <v>17604</v>
      </c>
      <c r="D49" s="61">
        <v>48</v>
      </c>
      <c r="E49" s="64">
        <f t="shared" si="1"/>
        <v>2304</v>
      </c>
    </row>
    <row r="50" spans="1:5" x14ac:dyDescent="0.35">
      <c r="A50" s="60" t="s">
        <v>45</v>
      </c>
      <c r="B50" s="61" t="str">
        <f t="shared" si="2"/>
        <v>2009</v>
      </c>
      <c r="C50" s="84">
        <v>17770</v>
      </c>
      <c r="D50" s="61">
        <v>49</v>
      </c>
      <c r="E50" s="64">
        <f t="shared" si="1"/>
        <v>2401</v>
      </c>
    </row>
    <row r="51" spans="1:5" x14ac:dyDescent="0.35">
      <c r="A51" s="60" t="s">
        <v>46</v>
      </c>
      <c r="B51" s="61" t="str">
        <f t="shared" si="2"/>
        <v>2009</v>
      </c>
      <c r="C51" s="84">
        <v>18492</v>
      </c>
      <c r="D51" s="61">
        <v>50</v>
      </c>
      <c r="E51" s="64">
        <f t="shared" si="1"/>
        <v>2500</v>
      </c>
    </row>
    <row r="52" spans="1:5" x14ac:dyDescent="0.35">
      <c r="A52" s="60" t="s">
        <v>47</v>
      </c>
      <c r="B52" s="61" t="str">
        <f t="shared" si="2"/>
        <v>2009</v>
      </c>
      <c r="C52" s="84">
        <v>17784</v>
      </c>
      <c r="D52" s="61">
        <v>51</v>
      </c>
      <c r="E52" s="64">
        <f t="shared" si="1"/>
        <v>2601</v>
      </c>
    </row>
    <row r="53" spans="1:5" x14ac:dyDescent="0.35">
      <c r="A53" s="60" t="s">
        <v>48</v>
      </c>
      <c r="B53" s="61" t="str">
        <f t="shared" si="2"/>
        <v>2009</v>
      </c>
      <c r="C53" s="84">
        <v>20067</v>
      </c>
      <c r="D53" s="61">
        <v>52</v>
      </c>
      <c r="E53" s="64">
        <f t="shared" si="1"/>
        <v>2704</v>
      </c>
    </row>
    <row r="54" spans="1:5" x14ac:dyDescent="0.35">
      <c r="A54" s="65" t="s">
        <v>49</v>
      </c>
      <c r="B54" s="61" t="str">
        <f t="shared" si="2"/>
        <v>2010</v>
      </c>
      <c r="C54" s="85">
        <v>17874</v>
      </c>
      <c r="D54" s="61">
        <v>53</v>
      </c>
      <c r="E54" s="64">
        <f t="shared" si="1"/>
        <v>2809</v>
      </c>
    </row>
    <row r="55" spans="1:5" x14ac:dyDescent="0.35">
      <c r="A55" s="65" t="s">
        <v>50</v>
      </c>
      <c r="B55" s="61" t="str">
        <f t="shared" si="2"/>
        <v>2010</v>
      </c>
      <c r="C55" s="85">
        <v>17171</v>
      </c>
      <c r="D55" s="61">
        <v>54</v>
      </c>
      <c r="E55" s="64">
        <f t="shared" si="1"/>
        <v>2916</v>
      </c>
    </row>
    <row r="56" spans="1:5" x14ac:dyDescent="0.35">
      <c r="A56" s="65" t="s">
        <v>51</v>
      </c>
      <c r="B56" s="61" t="str">
        <f t="shared" si="2"/>
        <v>2010</v>
      </c>
      <c r="C56" s="85">
        <v>19214</v>
      </c>
      <c r="D56" s="61">
        <v>55</v>
      </c>
      <c r="E56" s="64">
        <f t="shared" si="1"/>
        <v>3025</v>
      </c>
    </row>
    <row r="57" spans="1:5" x14ac:dyDescent="0.35">
      <c r="A57" s="65" t="s">
        <v>52</v>
      </c>
      <c r="B57" s="61" t="str">
        <f t="shared" si="2"/>
        <v>2010</v>
      </c>
      <c r="C57" s="85">
        <v>18340</v>
      </c>
      <c r="D57" s="61">
        <v>56</v>
      </c>
      <c r="E57" s="64">
        <f t="shared" si="1"/>
        <v>3136</v>
      </c>
    </row>
    <row r="58" spans="1:5" x14ac:dyDescent="0.35">
      <c r="A58" s="67" t="s">
        <v>181</v>
      </c>
      <c r="B58" s="61" t="str">
        <f t="shared" si="2"/>
        <v>2010</v>
      </c>
      <c r="C58" s="85">
        <v>18295</v>
      </c>
      <c r="D58" s="61">
        <v>57</v>
      </c>
      <c r="E58" s="64">
        <f t="shared" si="1"/>
        <v>3249</v>
      </c>
    </row>
    <row r="59" spans="1:5" x14ac:dyDescent="0.35">
      <c r="A59" s="65" t="s">
        <v>53</v>
      </c>
      <c r="B59" s="61" t="str">
        <f t="shared" si="2"/>
        <v>2010</v>
      </c>
      <c r="C59" s="85">
        <v>18372</v>
      </c>
      <c r="D59" s="61">
        <v>58</v>
      </c>
      <c r="E59" s="64">
        <f t="shared" si="1"/>
        <v>3364</v>
      </c>
    </row>
    <row r="60" spans="1:5" x14ac:dyDescent="0.35">
      <c r="A60" s="65" t="s">
        <v>54</v>
      </c>
      <c r="B60" s="61" t="str">
        <f t="shared" si="2"/>
        <v>2010</v>
      </c>
      <c r="C60" s="85">
        <v>18170</v>
      </c>
      <c r="D60" s="61">
        <v>59</v>
      </c>
      <c r="E60" s="64">
        <f t="shared" si="1"/>
        <v>3481</v>
      </c>
    </row>
    <row r="61" spans="1:5" x14ac:dyDescent="0.35">
      <c r="A61" s="65" t="s">
        <v>55</v>
      </c>
      <c r="B61" s="61" t="str">
        <f t="shared" si="2"/>
        <v>2010</v>
      </c>
      <c r="C61" s="85">
        <v>18328</v>
      </c>
      <c r="D61" s="61">
        <v>60</v>
      </c>
      <c r="E61" s="64">
        <f t="shared" si="1"/>
        <v>3600</v>
      </c>
    </row>
    <row r="62" spans="1:5" x14ac:dyDescent="0.35">
      <c r="A62" s="65" t="s">
        <v>56</v>
      </c>
      <c r="B62" s="61" t="str">
        <f t="shared" si="2"/>
        <v>2010</v>
      </c>
      <c r="C62" s="85">
        <v>18124</v>
      </c>
      <c r="D62" s="61">
        <v>61</v>
      </c>
      <c r="E62" s="64">
        <f t="shared" si="1"/>
        <v>3721</v>
      </c>
    </row>
    <row r="63" spans="1:5" x14ac:dyDescent="0.35">
      <c r="A63" s="65" t="s">
        <v>57</v>
      </c>
      <c r="B63" s="61" t="str">
        <f t="shared" si="2"/>
        <v>2010</v>
      </c>
      <c r="C63" s="85">
        <v>18611</v>
      </c>
      <c r="D63" s="61">
        <v>62</v>
      </c>
      <c r="E63" s="64">
        <f t="shared" si="1"/>
        <v>3844</v>
      </c>
    </row>
    <row r="64" spans="1:5" x14ac:dyDescent="0.35">
      <c r="A64" s="65" t="s">
        <v>58</v>
      </c>
      <c r="B64" s="61" t="str">
        <f t="shared" si="2"/>
        <v>2010</v>
      </c>
      <c r="C64" s="85">
        <v>18724</v>
      </c>
      <c r="D64" s="61">
        <v>63</v>
      </c>
      <c r="E64" s="64">
        <f t="shared" si="1"/>
        <v>3969</v>
      </c>
    </row>
    <row r="65" spans="1:5" x14ac:dyDescent="0.35">
      <c r="A65" s="65" t="s">
        <v>59</v>
      </c>
      <c r="B65" s="61" t="str">
        <f t="shared" si="2"/>
        <v>2010</v>
      </c>
      <c r="C65" s="85">
        <v>21007</v>
      </c>
      <c r="D65" s="61">
        <v>64</v>
      </c>
      <c r="E65" s="64">
        <f t="shared" si="1"/>
        <v>4096</v>
      </c>
    </row>
    <row r="66" spans="1:5" x14ac:dyDescent="0.35">
      <c r="A66" s="65" t="s">
        <v>60</v>
      </c>
      <c r="B66" s="61" t="str">
        <f t="shared" ref="B66:B97" si="3">MID(A66,6,4)</f>
        <v>2011</v>
      </c>
      <c r="C66" s="85">
        <v>19155</v>
      </c>
      <c r="D66" s="61">
        <v>65</v>
      </c>
      <c r="E66" s="64">
        <f t="shared" si="1"/>
        <v>4225</v>
      </c>
    </row>
    <row r="67" spans="1:5" x14ac:dyDescent="0.35">
      <c r="A67" s="65" t="s">
        <v>61</v>
      </c>
      <c r="B67" s="61" t="str">
        <f t="shared" si="3"/>
        <v>2011</v>
      </c>
      <c r="C67" s="85">
        <v>18117</v>
      </c>
      <c r="D67" s="61">
        <v>66</v>
      </c>
      <c r="E67" s="64">
        <f t="shared" ref="E67:E130" si="4">D67*D67</f>
        <v>4356</v>
      </c>
    </row>
    <row r="68" spans="1:5" x14ac:dyDescent="0.35">
      <c r="A68" s="65" t="s">
        <v>62</v>
      </c>
      <c r="B68" s="61" t="str">
        <f t="shared" si="3"/>
        <v>2011</v>
      </c>
      <c r="C68" s="85">
        <v>20042</v>
      </c>
      <c r="D68" s="61">
        <v>67</v>
      </c>
      <c r="E68" s="64">
        <f t="shared" si="4"/>
        <v>4489</v>
      </c>
    </row>
    <row r="69" spans="1:5" x14ac:dyDescent="0.35">
      <c r="A69" s="65" t="s">
        <v>63</v>
      </c>
      <c r="B69" s="61" t="str">
        <f t="shared" si="3"/>
        <v>2011</v>
      </c>
      <c r="C69" s="85">
        <v>18944</v>
      </c>
      <c r="D69" s="61">
        <v>68</v>
      </c>
      <c r="E69" s="64">
        <f t="shared" si="4"/>
        <v>4624</v>
      </c>
    </row>
    <row r="70" spans="1:5" x14ac:dyDescent="0.35">
      <c r="A70" s="67" t="s">
        <v>182</v>
      </c>
      <c r="B70" s="61" t="str">
        <f t="shared" si="3"/>
        <v>2011</v>
      </c>
      <c r="C70" s="85">
        <v>19505</v>
      </c>
      <c r="D70" s="61">
        <v>69</v>
      </c>
      <c r="E70" s="64">
        <f t="shared" si="4"/>
        <v>4761</v>
      </c>
    </row>
    <row r="71" spans="1:5" x14ac:dyDescent="0.35">
      <c r="A71" s="65" t="s">
        <v>64</v>
      </c>
      <c r="B71" s="61" t="str">
        <f t="shared" si="3"/>
        <v>2011</v>
      </c>
      <c r="C71" s="85">
        <v>19081</v>
      </c>
      <c r="D71" s="61">
        <v>70</v>
      </c>
      <c r="E71" s="64">
        <f t="shared" si="4"/>
        <v>4900</v>
      </c>
    </row>
    <row r="72" spans="1:5" x14ac:dyDescent="0.35">
      <c r="A72" s="65" t="s">
        <v>65</v>
      </c>
      <c r="B72" s="61" t="str">
        <f t="shared" si="3"/>
        <v>2011</v>
      </c>
      <c r="C72" s="85">
        <v>18541</v>
      </c>
      <c r="D72" s="61">
        <v>71</v>
      </c>
      <c r="E72" s="64">
        <f t="shared" si="4"/>
        <v>5041</v>
      </c>
    </row>
    <row r="73" spans="1:5" x14ac:dyDescent="0.35">
      <c r="A73" s="65" t="s">
        <v>66</v>
      </c>
      <c r="B73" s="61" t="str">
        <f t="shared" si="3"/>
        <v>2011</v>
      </c>
      <c r="C73" s="85">
        <v>19481</v>
      </c>
      <c r="D73" s="61">
        <v>72</v>
      </c>
      <c r="E73" s="64">
        <f t="shared" si="4"/>
        <v>5184</v>
      </c>
    </row>
    <row r="74" spans="1:5" x14ac:dyDescent="0.35">
      <c r="A74" s="65" t="s">
        <v>67</v>
      </c>
      <c r="B74" s="61" t="str">
        <f t="shared" si="3"/>
        <v>2011</v>
      </c>
      <c r="C74" s="85">
        <v>18845</v>
      </c>
      <c r="D74" s="61">
        <v>73</v>
      </c>
      <c r="E74" s="64">
        <f t="shared" si="4"/>
        <v>5329</v>
      </c>
    </row>
    <row r="75" spans="1:5" x14ac:dyDescent="0.35">
      <c r="A75" s="65" t="s">
        <v>68</v>
      </c>
      <c r="B75" s="61" t="str">
        <f t="shared" si="3"/>
        <v>2011</v>
      </c>
      <c r="C75" s="85">
        <v>19302</v>
      </c>
      <c r="D75" s="61">
        <v>74</v>
      </c>
      <c r="E75" s="64">
        <f t="shared" si="4"/>
        <v>5476</v>
      </c>
    </row>
    <row r="76" spans="1:5" x14ac:dyDescent="0.35">
      <c r="A76" s="65" t="s">
        <v>69</v>
      </c>
      <c r="B76" s="61" t="str">
        <f t="shared" si="3"/>
        <v>2011</v>
      </c>
      <c r="C76" s="85">
        <v>19103</v>
      </c>
      <c r="D76" s="61">
        <v>75</v>
      </c>
      <c r="E76" s="64">
        <f t="shared" si="4"/>
        <v>5625</v>
      </c>
    </row>
    <row r="77" spans="1:5" x14ac:dyDescent="0.35">
      <c r="A77" s="65" t="s">
        <v>70</v>
      </c>
      <c r="B77" s="61" t="str">
        <f t="shared" si="3"/>
        <v>2011</v>
      </c>
      <c r="C77" s="85">
        <v>21133</v>
      </c>
      <c r="D77" s="61">
        <v>76</v>
      </c>
      <c r="E77" s="64">
        <f t="shared" si="4"/>
        <v>5776</v>
      </c>
    </row>
    <row r="78" spans="1:5" x14ac:dyDescent="0.35">
      <c r="A78" s="65" t="s">
        <v>71</v>
      </c>
      <c r="B78" s="61" t="str">
        <f t="shared" si="3"/>
        <v>2012</v>
      </c>
      <c r="C78" s="85">
        <v>19401</v>
      </c>
      <c r="D78" s="61">
        <v>77</v>
      </c>
      <c r="E78" s="64">
        <f t="shared" si="4"/>
        <v>5929</v>
      </c>
    </row>
    <row r="79" spans="1:5" x14ac:dyDescent="0.35">
      <c r="A79" s="65" t="s">
        <v>72</v>
      </c>
      <c r="B79" s="61" t="str">
        <f t="shared" si="3"/>
        <v>2012</v>
      </c>
      <c r="C79" s="85">
        <v>19056</v>
      </c>
      <c r="D79" s="61">
        <v>78</v>
      </c>
      <c r="E79" s="64">
        <f t="shared" si="4"/>
        <v>6084</v>
      </c>
    </row>
    <row r="80" spans="1:5" x14ac:dyDescent="0.35">
      <c r="A80" s="65" t="s">
        <v>73</v>
      </c>
      <c r="B80" s="61" t="str">
        <f t="shared" si="3"/>
        <v>2012</v>
      </c>
      <c r="C80" s="85">
        <v>19943</v>
      </c>
      <c r="D80" s="61">
        <v>79</v>
      </c>
      <c r="E80" s="64">
        <f t="shared" si="4"/>
        <v>6241</v>
      </c>
    </row>
    <row r="81" spans="1:5" x14ac:dyDescent="0.35">
      <c r="A81" s="65" t="s">
        <v>74</v>
      </c>
      <c r="B81" s="61" t="str">
        <f t="shared" si="3"/>
        <v>2012</v>
      </c>
      <c r="C81" s="85">
        <v>19050</v>
      </c>
      <c r="D81" s="61">
        <v>80</v>
      </c>
      <c r="E81" s="64">
        <f t="shared" si="4"/>
        <v>6400</v>
      </c>
    </row>
    <row r="82" spans="1:5" x14ac:dyDescent="0.35">
      <c r="A82" s="67" t="s">
        <v>183</v>
      </c>
      <c r="B82" s="61" t="str">
        <f t="shared" si="3"/>
        <v>2012</v>
      </c>
      <c r="C82" s="85">
        <v>19701</v>
      </c>
      <c r="D82" s="61">
        <v>81</v>
      </c>
      <c r="E82" s="64">
        <f t="shared" si="4"/>
        <v>6561</v>
      </c>
    </row>
    <row r="83" spans="1:5" x14ac:dyDescent="0.35">
      <c r="A83" s="65" t="s">
        <v>75</v>
      </c>
      <c r="B83" s="61" t="str">
        <f t="shared" si="3"/>
        <v>2012</v>
      </c>
      <c r="C83" s="85">
        <v>18426</v>
      </c>
      <c r="D83" s="61">
        <v>82</v>
      </c>
      <c r="E83" s="64">
        <f t="shared" si="4"/>
        <v>6724</v>
      </c>
    </row>
    <row r="84" spans="1:5" x14ac:dyDescent="0.35">
      <c r="A84" s="65" t="s">
        <v>76</v>
      </c>
      <c r="B84" s="61" t="str">
        <f t="shared" si="3"/>
        <v>2012</v>
      </c>
      <c r="C84" s="85">
        <v>18559</v>
      </c>
      <c r="D84" s="61">
        <v>83</v>
      </c>
      <c r="E84" s="64">
        <f t="shared" si="4"/>
        <v>6889</v>
      </c>
    </row>
    <row r="85" spans="1:5" x14ac:dyDescent="0.35">
      <c r="A85" s="65" t="s">
        <v>77</v>
      </c>
      <c r="B85" s="61" t="str">
        <f t="shared" si="3"/>
        <v>2012</v>
      </c>
      <c r="C85" s="85">
        <v>19168</v>
      </c>
      <c r="D85" s="61">
        <v>84</v>
      </c>
      <c r="E85" s="64">
        <f t="shared" si="4"/>
        <v>7056</v>
      </c>
    </row>
    <row r="86" spans="1:5" x14ac:dyDescent="0.35">
      <c r="A86" s="65" t="s">
        <v>78</v>
      </c>
      <c r="B86" s="61" t="str">
        <f t="shared" si="3"/>
        <v>2012</v>
      </c>
      <c r="C86" s="85">
        <v>17847</v>
      </c>
      <c r="D86" s="61">
        <v>85</v>
      </c>
      <c r="E86" s="64">
        <f t="shared" si="4"/>
        <v>7225</v>
      </c>
    </row>
    <row r="87" spans="1:5" x14ac:dyDescent="0.35">
      <c r="A87" s="65" t="s">
        <v>79</v>
      </c>
      <c r="B87" s="61" t="str">
        <f t="shared" si="3"/>
        <v>2012</v>
      </c>
      <c r="C87" s="85">
        <v>19468</v>
      </c>
      <c r="D87" s="61">
        <v>86</v>
      </c>
      <c r="E87" s="64">
        <f t="shared" si="4"/>
        <v>7396</v>
      </c>
    </row>
    <row r="88" spans="1:5" x14ac:dyDescent="0.35">
      <c r="A88" s="65" t="s">
        <v>80</v>
      </c>
      <c r="B88" s="61" t="str">
        <f t="shared" si="3"/>
        <v>2012</v>
      </c>
      <c r="C88" s="85">
        <v>18700</v>
      </c>
      <c r="D88" s="61">
        <v>87</v>
      </c>
      <c r="E88" s="64">
        <f t="shared" si="4"/>
        <v>7569</v>
      </c>
    </row>
    <row r="89" spans="1:5" x14ac:dyDescent="0.35">
      <c r="A89" s="65" t="s">
        <v>81</v>
      </c>
      <c r="B89" s="61" t="str">
        <f t="shared" si="3"/>
        <v>2012</v>
      </c>
      <c r="C89" s="85">
        <v>20632</v>
      </c>
      <c r="D89" s="61">
        <v>88</v>
      </c>
      <c r="E89" s="64">
        <f t="shared" si="4"/>
        <v>7744</v>
      </c>
    </row>
    <row r="90" spans="1:5" x14ac:dyDescent="0.35">
      <c r="A90" s="68" t="s">
        <v>82</v>
      </c>
      <c r="B90" s="61" t="str">
        <f t="shared" si="3"/>
        <v>2013</v>
      </c>
      <c r="C90" s="86">
        <v>19826</v>
      </c>
      <c r="D90" s="61">
        <v>89</v>
      </c>
      <c r="E90" s="64">
        <f t="shared" si="4"/>
        <v>7921</v>
      </c>
    </row>
    <row r="91" spans="1:5" x14ac:dyDescent="0.35">
      <c r="A91" s="68" t="s">
        <v>83</v>
      </c>
      <c r="B91" s="61" t="str">
        <f t="shared" si="3"/>
        <v>2013</v>
      </c>
      <c r="C91" s="86">
        <v>18221</v>
      </c>
      <c r="D91" s="61">
        <v>90</v>
      </c>
      <c r="E91" s="64">
        <f t="shared" si="4"/>
        <v>8100</v>
      </c>
    </row>
    <row r="92" spans="1:5" x14ac:dyDescent="0.35">
      <c r="A92" s="68" t="s">
        <v>84</v>
      </c>
      <c r="B92" s="61" t="str">
        <f t="shared" si="3"/>
        <v>2013</v>
      </c>
      <c r="C92" s="86">
        <v>19625</v>
      </c>
      <c r="D92" s="61">
        <v>91</v>
      </c>
      <c r="E92" s="64">
        <f t="shared" si="4"/>
        <v>8281</v>
      </c>
    </row>
    <row r="93" spans="1:5" x14ac:dyDescent="0.35">
      <c r="A93" s="68" t="s">
        <v>85</v>
      </c>
      <c r="B93" s="61" t="str">
        <f t="shared" si="3"/>
        <v>2013</v>
      </c>
      <c r="C93" s="86">
        <v>19168</v>
      </c>
      <c r="D93" s="61">
        <v>92</v>
      </c>
      <c r="E93" s="64">
        <f t="shared" si="4"/>
        <v>8464</v>
      </c>
    </row>
    <row r="94" spans="1:5" x14ac:dyDescent="0.35">
      <c r="A94" s="70" t="s">
        <v>86</v>
      </c>
      <c r="B94" s="61" t="str">
        <f t="shared" si="3"/>
        <v>2013</v>
      </c>
      <c r="C94" s="86">
        <v>19806</v>
      </c>
      <c r="D94" s="61">
        <v>93</v>
      </c>
      <c r="E94" s="64">
        <f t="shared" si="4"/>
        <v>8649</v>
      </c>
    </row>
    <row r="95" spans="1:5" x14ac:dyDescent="0.35">
      <c r="A95" s="68" t="s">
        <v>87</v>
      </c>
      <c r="B95" s="61" t="str">
        <f t="shared" si="3"/>
        <v>2013</v>
      </c>
      <c r="C95" s="86">
        <v>18547</v>
      </c>
      <c r="D95" s="61">
        <v>94</v>
      </c>
      <c r="E95" s="64">
        <f t="shared" si="4"/>
        <v>8836</v>
      </c>
    </row>
    <row r="96" spans="1:5" x14ac:dyDescent="0.35">
      <c r="A96" s="68" t="s">
        <v>88</v>
      </c>
      <c r="B96" s="61" t="str">
        <f t="shared" si="3"/>
        <v>2013</v>
      </c>
      <c r="C96" s="86">
        <v>19470</v>
      </c>
      <c r="D96" s="61">
        <v>95</v>
      </c>
      <c r="E96" s="64">
        <f t="shared" si="4"/>
        <v>9025</v>
      </c>
    </row>
    <row r="97" spans="1:5" x14ac:dyDescent="0.35">
      <c r="A97" s="68" t="s">
        <v>89</v>
      </c>
      <c r="B97" s="61" t="str">
        <f t="shared" si="3"/>
        <v>2013</v>
      </c>
      <c r="C97" s="86">
        <v>19562</v>
      </c>
      <c r="D97" s="61">
        <v>96</v>
      </c>
      <c r="E97" s="64">
        <f t="shared" si="4"/>
        <v>9216</v>
      </c>
    </row>
    <row r="98" spans="1:5" x14ac:dyDescent="0.35">
      <c r="A98" s="68" t="s">
        <v>90</v>
      </c>
      <c r="B98" s="61" t="str">
        <f t="shared" ref="B98:B129" si="5">MID(A98,6,4)</f>
        <v>2013</v>
      </c>
      <c r="C98" s="86">
        <v>19217</v>
      </c>
      <c r="D98" s="61">
        <v>97</v>
      </c>
      <c r="E98" s="64">
        <f t="shared" si="4"/>
        <v>9409</v>
      </c>
    </row>
    <row r="99" spans="1:5" x14ac:dyDescent="0.35">
      <c r="A99" s="68" t="s">
        <v>91</v>
      </c>
      <c r="B99" s="61" t="str">
        <f t="shared" si="5"/>
        <v>2013</v>
      </c>
      <c r="C99" s="86">
        <v>20478</v>
      </c>
      <c r="D99" s="61">
        <v>98</v>
      </c>
      <c r="E99" s="64">
        <f t="shared" si="4"/>
        <v>9604</v>
      </c>
    </row>
    <row r="100" spans="1:5" x14ac:dyDescent="0.35">
      <c r="A100" s="68" t="s">
        <v>92</v>
      </c>
      <c r="B100" s="61" t="str">
        <f t="shared" si="5"/>
        <v>2013</v>
      </c>
      <c r="C100" s="86">
        <v>19554</v>
      </c>
      <c r="D100" s="61">
        <v>99</v>
      </c>
      <c r="E100" s="64">
        <f t="shared" si="4"/>
        <v>9801</v>
      </c>
    </row>
    <row r="101" spans="1:5" x14ac:dyDescent="0.35">
      <c r="A101" s="68" t="s">
        <v>93</v>
      </c>
      <c r="B101" s="61" t="str">
        <f t="shared" si="5"/>
        <v>2013</v>
      </c>
      <c r="C101" s="86">
        <v>22074</v>
      </c>
      <c r="D101" s="61">
        <v>100</v>
      </c>
      <c r="E101" s="64">
        <f t="shared" si="4"/>
        <v>10000</v>
      </c>
    </row>
    <row r="102" spans="1:5" x14ac:dyDescent="0.35">
      <c r="A102" s="68" t="s">
        <v>94</v>
      </c>
      <c r="B102" s="61" t="str">
        <f t="shared" si="5"/>
        <v>2014</v>
      </c>
      <c r="C102" s="86">
        <v>20634</v>
      </c>
      <c r="D102" s="61">
        <v>101</v>
      </c>
      <c r="E102" s="64">
        <f t="shared" si="4"/>
        <v>10201</v>
      </c>
    </row>
    <row r="103" spans="1:5" x14ac:dyDescent="0.35">
      <c r="A103" s="68" t="s">
        <v>95</v>
      </c>
      <c r="B103" s="61" t="str">
        <f t="shared" si="5"/>
        <v>2014</v>
      </c>
      <c r="C103" s="86">
        <v>19140</v>
      </c>
      <c r="D103" s="61">
        <v>102</v>
      </c>
      <c r="E103" s="64">
        <f t="shared" si="4"/>
        <v>10404</v>
      </c>
    </row>
    <row r="104" spans="1:5" x14ac:dyDescent="0.35">
      <c r="A104" s="68" t="s">
        <v>96</v>
      </c>
      <c r="B104" s="61" t="str">
        <f t="shared" si="5"/>
        <v>2014</v>
      </c>
      <c r="C104" s="86">
        <v>20488</v>
      </c>
      <c r="D104" s="61">
        <v>103</v>
      </c>
      <c r="E104" s="64">
        <f t="shared" si="4"/>
        <v>10609</v>
      </c>
    </row>
    <row r="105" spans="1:5" x14ac:dyDescent="0.35">
      <c r="A105" s="68" t="s">
        <v>97</v>
      </c>
      <c r="B105" s="61" t="str">
        <f t="shared" si="5"/>
        <v>2014</v>
      </c>
      <c r="C105" s="86">
        <v>20621</v>
      </c>
      <c r="D105" s="61">
        <v>104</v>
      </c>
      <c r="E105" s="64">
        <f t="shared" si="4"/>
        <v>10816</v>
      </c>
    </row>
    <row r="106" spans="1:5" x14ac:dyDescent="0.35">
      <c r="A106" s="70" t="s">
        <v>98</v>
      </c>
      <c r="B106" s="61" t="str">
        <f t="shared" si="5"/>
        <v>2014</v>
      </c>
      <c r="C106" s="86">
        <v>21069</v>
      </c>
      <c r="D106" s="61">
        <v>105</v>
      </c>
      <c r="E106" s="64">
        <f t="shared" si="4"/>
        <v>11025</v>
      </c>
    </row>
    <row r="107" spans="1:5" x14ac:dyDescent="0.35">
      <c r="A107" s="68" t="s">
        <v>99</v>
      </c>
      <c r="B107" s="61" t="str">
        <f t="shared" si="5"/>
        <v>2014</v>
      </c>
      <c r="C107" s="86">
        <v>20421</v>
      </c>
      <c r="D107" s="61">
        <v>106</v>
      </c>
      <c r="E107" s="64">
        <f t="shared" si="4"/>
        <v>11236</v>
      </c>
    </row>
    <row r="108" spans="1:5" x14ac:dyDescent="0.35">
      <c r="A108" s="68" t="s">
        <v>100</v>
      </c>
      <c r="B108" s="61" t="str">
        <f t="shared" si="5"/>
        <v>2014</v>
      </c>
      <c r="C108" s="86">
        <v>20910</v>
      </c>
      <c r="D108" s="61">
        <v>107</v>
      </c>
      <c r="E108" s="64">
        <f t="shared" si="4"/>
        <v>11449</v>
      </c>
    </row>
    <row r="109" spans="1:5" x14ac:dyDescent="0.35">
      <c r="A109" s="68" t="s">
        <v>101</v>
      </c>
      <c r="B109" s="61" t="str">
        <f t="shared" si="5"/>
        <v>2014</v>
      </c>
      <c r="C109" s="86">
        <v>20631</v>
      </c>
      <c r="D109" s="61">
        <v>108</v>
      </c>
      <c r="E109" s="64">
        <f t="shared" si="4"/>
        <v>11664</v>
      </c>
    </row>
    <row r="110" spans="1:5" x14ac:dyDescent="0.35">
      <c r="A110" s="68" t="s">
        <v>102</v>
      </c>
      <c r="B110" s="61" t="str">
        <f t="shared" si="5"/>
        <v>2014</v>
      </c>
      <c r="C110" s="86">
        <v>20699</v>
      </c>
      <c r="D110" s="61">
        <v>109</v>
      </c>
      <c r="E110" s="64">
        <f t="shared" si="4"/>
        <v>11881</v>
      </c>
    </row>
    <row r="111" spans="1:5" x14ac:dyDescent="0.35">
      <c r="A111" s="68" t="s">
        <v>103</v>
      </c>
      <c r="B111" s="61" t="str">
        <f t="shared" si="5"/>
        <v>2014</v>
      </c>
      <c r="C111" s="86">
        <v>21676</v>
      </c>
      <c r="D111" s="61">
        <v>110</v>
      </c>
      <c r="E111" s="64">
        <f t="shared" si="4"/>
        <v>12100</v>
      </c>
    </row>
    <row r="112" spans="1:5" x14ac:dyDescent="0.35">
      <c r="A112" s="68" t="s">
        <v>104</v>
      </c>
      <c r="B112" s="61" t="str">
        <f t="shared" si="5"/>
        <v>2014</v>
      </c>
      <c r="C112" s="86">
        <v>20211</v>
      </c>
      <c r="D112" s="61">
        <v>111</v>
      </c>
      <c r="E112" s="64">
        <f t="shared" si="4"/>
        <v>12321</v>
      </c>
    </row>
    <row r="113" spans="1:5" x14ac:dyDescent="0.35">
      <c r="A113" s="68" t="s">
        <v>105</v>
      </c>
      <c r="B113" s="61" t="str">
        <f t="shared" si="5"/>
        <v>2014</v>
      </c>
      <c r="C113" s="86">
        <v>24046</v>
      </c>
      <c r="D113" s="61">
        <v>112</v>
      </c>
      <c r="E113" s="64">
        <f t="shared" si="4"/>
        <v>12544</v>
      </c>
    </row>
    <row r="114" spans="1:5" x14ac:dyDescent="0.35">
      <c r="A114" s="68" t="s">
        <v>106</v>
      </c>
      <c r="B114" s="61" t="str">
        <f t="shared" si="5"/>
        <v>2015</v>
      </c>
      <c r="C114" s="86">
        <v>21713</v>
      </c>
      <c r="D114" s="61">
        <v>113</v>
      </c>
      <c r="E114" s="64">
        <f t="shared" si="4"/>
        <v>12769</v>
      </c>
    </row>
    <row r="115" spans="1:5" x14ac:dyDescent="0.35">
      <c r="A115" s="68" t="s">
        <v>107</v>
      </c>
      <c r="B115" s="61" t="str">
        <f t="shared" si="5"/>
        <v>2015</v>
      </c>
      <c r="C115" s="86">
        <v>20085</v>
      </c>
      <c r="D115" s="61">
        <v>114</v>
      </c>
      <c r="E115" s="64">
        <f t="shared" si="4"/>
        <v>12996</v>
      </c>
    </row>
    <row r="116" spans="1:5" x14ac:dyDescent="0.35">
      <c r="A116" s="68" t="s">
        <v>108</v>
      </c>
      <c r="B116" s="61" t="str">
        <f t="shared" si="5"/>
        <v>2015</v>
      </c>
      <c r="C116" s="86">
        <v>22366</v>
      </c>
      <c r="D116" s="61">
        <v>115</v>
      </c>
      <c r="E116" s="64">
        <f t="shared" si="4"/>
        <v>13225</v>
      </c>
    </row>
    <row r="117" spans="1:5" x14ac:dyDescent="0.35">
      <c r="A117" s="68" t="s">
        <v>109</v>
      </c>
      <c r="B117" s="61" t="str">
        <f t="shared" si="5"/>
        <v>2015</v>
      </c>
      <c r="C117" s="86">
        <v>21551</v>
      </c>
      <c r="D117" s="61">
        <v>116</v>
      </c>
      <c r="E117" s="64">
        <f t="shared" si="4"/>
        <v>13456</v>
      </c>
    </row>
    <row r="118" spans="1:5" x14ac:dyDescent="0.35">
      <c r="A118" s="70" t="s">
        <v>110</v>
      </c>
      <c r="B118" s="61" t="str">
        <f t="shared" si="5"/>
        <v>2015</v>
      </c>
      <c r="C118" s="86">
        <v>21461</v>
      </c>
      <c r="D118" s="61">
        <v>117</v>
      </c>
      <c r="E118" s="64">
        <f t="shared" si="4"/>
        <v>13689</v>
      </c>
    </row>
    <row r="119" spans="1:5" x14ac:dyDescent="0.35">
      <c r="A119" s="68" t="s">
        <v>111</v>
      </c>
      <c r="B119" s="61" t="str">
        <f t="shared" si="5"/>
        <v>2015</v>
      </c>
      <c r="C119" s="86">
        <v>21489</v>
      </c>
      <c r="D119" s="61">
        <v>118</v>
      </c>
      <c r="E119" s="64">
        <f t="shared" si="4"/>
        <v>13924</v>
      </c>
    </row>
    <row r="120" spans="1:5" x14ac:dyDescent="0.35">
      <c r="A120" s="68" t="s">
        <v>112</v>
      </c>
      <c r="B120" s="61" t="str">
        <f t="shared" si="5"/>
        <v>2015</v>
      </c>
      <c r="C120" s="86">
        <v>21774</v>
      </c>
      <c r="D120" s="61">
        <v>119</v>
      </c>
      <c r="E120" s="64">
        <f t="shared" si="4"/>
        <v>14161</v>
      </c>
    </row>
    <row r="121" spans="1:5" x14ac:dyDescent="0.35">
      <c r="A121" s="68" t="s">
        <v>113</v>
      </c>
      <c r="B121" s="61" t="str">
        <f t="shared" si="5"/>
        <v>2015</v>
      </c>
      <c r="C121" s="86">
        <v>21533</v>
      </c>
      <c r="D121" s="61">
        <v>120</v>
      </c>
      <c r="E121" s="64">
        <f t="shared" si="4"/>
        <v>14400</v>
      </c>
    </row>
    <row r="122" spans="1:5" x14ac:dyDescent="0.35">
      <c r="A122" s="68" t="s">
        <v>114</v>
      </c>
      <c r="B122" s="61" t="str">
        <f t="shared" si="5"/>
        <v>2015</v>
      </c>
      <c r="C122" s="86">
        <v>22018</v>
      </c>
      <c r="D122" s="61">
        <v>121</v>
      </c>
      <c r="E122" s="64">
        <f t="shared" si="4"/>
        <v>14641</v>
      </c>
    </row>
    <row r="123" spans="1:5" x14ac:dyDescent="0.35">
      <c r="A123" s="68" t="s">
        <v>115</v>
      </c>
      <c r="B123" s="61" t="str">
        <f t="shared" si="5"/>
        <v>2015</v>
      </c>
      <c r="C123" s="86">
        <v>22625</v>
      </c>
      <c r="D123" s="61">
        <v>122</v>
      </c>
      <c r="E123" s="64">
        <f t="shared" si="4"/>
        <v>14884</v>
      </c>
    </row>
    <row r="124" spans="1:5" x14ac:dyDescent="0.35">
      <c r="A124" s="68" t="s">
        <v>116</v>
      </c>
      <c r="B124" s="61" t="str">
        <f t="shared" si="5"/>
        <v>2015</v>
      </c>
      <c r="C124" s="86">
        <v>21642</v>
      </c>
      <c r="D124" s="61">
        <v>123</v>
      </c>
      <c r="E124" s="64">
        <f t="shared" si="4"/>
        <v>15129</v>
      </c>
    </row>
    <row r="125" spans="1:5" x14ac:dyDescent="0.35">
      <c r="A125" s="68" t="s">
        <v>117</v>
      </c>
      <c r="B125" s="61" t="str">
        <f t="shared" si="5"/>
        <v>2015</v>
      </c>
      <c r="C125" s="86">
        <v>25212</v>
      </c>
      <c r="D125" s="61">
        <v>124</v>
      </c>
      <c r="E125" s="64">
        <f t="shared" si="4"/>
        <v>15376</v>
      </c>
    </row>
    <row r="126" spans="1:5" x14ac:dyDescent="0.35">
      <c r="A126" s="68" t="s">
        <v>118</v>
      </c>
      <c r="B126" s="61" t="str">
        <f t="shared" si="5"/>
        <v>2016</v>
      </c>
      <c r="C126" s="86">
        <v>22157</v>
      </c>
      <c r="D126" s="61">
        <v>125</v>
      </c>
      <c r="E126" s="64">
        <f t="shared" si="4"/>
        <v>15625</v>
      </c>
    </row>
    <row r="127" spans="1:5" x14ac:dyDescent="0.35">
      <c r="A127" s="68" t="s">
        <v>119</v>
      </c>
      <c r="B127" s="61" t="str">
        <f t="shared" si="5"/>
        <v>2016</v>
      </c>
      <c r="C127" s="86">
        <v>22390</v>
      </c>
      <c r="D127" s="61">
        <v>126</v>
      </c>
      <c r="E127" s="64">
        <f t="shared" si="4"/>
        <v>15876</v>
      </c>
    </row>
    <row r="128" spans="1:5" x14ac:dyDescent="0.35">
      <c r="A128" s="68" t="s">
        <v>120</v>
      </c>
      <c r="B128" s="61" t="str">
        <f t="shared" si="5"/>
        <v>2016</v>
      </c>
      <c r="C128" s="86">
        <v>23550</v>
      </c>
      <c r="D128" s="61">
        <v>127</v>
      </c>
      <c r="E128" s="64">
        <f t="shared" si="4"/>
        <v>16129</v>
      </c>
    </row>
    <row r="129" spans="1:5" x14ac:dyDescent="0.35">
      <c r="A129" s="68" t="s">
        <v>121</v>
      </c>
      <c r="B129" s="61" t="str">
        <f t="shared" si="5"/>
        <v>2016</v>
      </c>
      <c r="C129" s="86">
        <v>22650</v>
      </c>
      <c r="D129" s="61">
        <v>128</v>
      </c>
      <c r="E129" s="64">
        <f t="shared" si="4"/>
        <v>16384</v>
      </c>
    </row>
    <row r="130" spans="1:5" x14ac:dyDescent="0.35">
      <c r="A130" s="70" t="s">
        <v>122</v>
      </c>
      <c r="B130" s="61" t="str">
        <f t="shared" ref="B130:B161" si="6">MID(A130,6,4)</f>
        <v>2016</v>
      </c>
      <c r="C130" s="86">
        <v>23091</v>
      </c>
      <c r="D130" s="61">
        <v>129</v>
      </c>
      <c r="E130" s="64">
        <f t="shared" si="4"/>
        <v>16641</v>
      </c>
    </row>
    <row r="131" spans="1:5" x14ac:dyDescent="0.35">
      <c r="A131" s="68" t="s">
        <v>123</v>
      </c>
      <c r="B131" s="61" t="str">
        <f t="shared" si="6"/>
        <v>2016</v>
      </c>
      <c r="C131" s="86">
        <v>22696</v>
      </c>
      <c r="D131" s="61">
        <v>130</v>
      </c>
      <c r="E131" s="64">
        <f t="shared" ref="E131:E181" si="7">D131*D131</f>
        <v>16900</v>
      </c>
    </row>
    <row r="132" spans="1:5" x14ac:dyDescent="0.35">
      <c r="A132" s="68" t="s">
        <v>124</v>
      </c>
      <c r="B132" s="61" t="str">
        <f t="shared" si="6"/>
        <v>2016</v>
      </c>
      <c r="C132" s="86">
        <v>22157</v>
      </c>
      <c r="D132" s="61">
        <v>131</v>
      </c>
      <c r="E132" s="64">
        <f t="shared" si="7"/>
        <v>17161</v>
      </c>
    </row>
    <row r="133" spans="1:5" x14ac:dyDescent="0.35">
      <c r="A133" s="68" t="s">
        <v>125</v>
      </c>
      <c r="B133" s="61" t="str">
        <f t="shared" si="6"/>
        <v>2016</v>
      </c>
      <c r="C133" s="86">
        <v>22989</v>
      </c>
      <c r="D133" s="61">
        <v>132</v>
      </c>
      <c r="E133" s="64">
        <f t="shared" si="7"/>
        <v>17424</v>
      </c>
    </row>
    <row r="134" spans="1:5" x14ac:dyDescent="0.35">
      <c r="A134" s="68" t="s">
        <v>126</v>
      </c>
      <c r="B134" s="61" t="str">
        <f t="shared" si="6"/>
        <v>2016</v>
      </c>
      <c r="C134" s="86">
        <v>22211</v>
      </c>
      <c r="D134" s="61">
        <v>133</v>
      </c>
      <c r="E134" s="64">
        <f t="shared" si="7"/>
        <v>17689</v>
      </c>
    </row>
    <row r="135" spans="1:5" x14ac:dyDescent="0.35">
      <c r="A135" s="68" t="s">
        <v>127</v>
      </c>
      <c r="B135" s="61" t="str">
        <f t="shared" si="6"/>
        <v>2016</v>
      </c>
      <c r="C135" s="86">
        <v>22096</v>
      </c>
      <c r="D135" s="61">
        <v>134</v>
      </c>
      <c r="E135" s="64">
        <f t="shared" si="7"/>
        <v>17956</v>
      </c>
    </row>
    <row r="136" spans="1:5" x14ac:dyDescent="0.35">
      <c r="A136" s="68" t="s">
        <v>128</v>
      </c>
      <c r="B136" s="61" t="str">
        <f t="shared" si="6"/>
        <v>2016</v>
      </c>
      <c r="C136" s="86">
        <v>21854</v>
      </c>
      <c r="D136" s="61">
        <v>135</v>
      </c>
      <c r="E136" s="64">
        <f t="shared" si="7"/>
        <v>18225</v>
      </c>
    </row>
    <row r="137" spans="1:5" x14ac:dyDescent="0.35">
      <c r="A137" s="68" t="s">
        <v>129</v>
      </c>
      <c r="B137" s="61" t="str">
        <f t="shared" si="6"/>
        <v>2016</v>
      </c>
      <c r="C137" s="86">
        <v>24489</v>
      </c>
      <c r="D137" s="61">
        <v>136</v>
      </c>
      <c r="E137" s="64">
        <f t="shared" si="7"/>
        <v>18496</v>
      </c>
    </row>
    <row r="138" spans="1:5" x14ac:dyDescent="0.35">
      <c r="A138" s="68" t="s">
        <v>130</v>
      </c>
      <c r="B138" s="61" t="str">
        <f t="shared" si="6"/>
        <v>2017</v>
      </c>
      <c r="C138" s="86">
        <v>22379</v>
      </c>
      <c r="D138" s="61">
        <v>137</v>
      </c>
      <c r="E138" s="64">
        <f t="shared" si="7"/>
        <v>18769</v>
      </c>
    </row>
    <row r="139" spans="1:5" x14ac:dyDescent="0.35">
      <c r="A139" s="68" t="s">
        <v>131</v>
      </c>
      <c r="B139" s="61" t="str">
        <f t="shared" si="6"/>
        <v>2017</v>
      </c>
      <c r="C139" s="86">
        <v>21234</v>
      </c>
      <c r="D139" s="61">
        <v>138</v>
      </c>
      <c r="E139" s="64">
        <f t="shared" si="7"/>
        <v>19044</v>
      </c>
    </row>
    <row r="140" spans="1:5" x14ac:dyDescent="0.35">
      <c r="A140" s="68" t="s">
        <v>132</v>
      </c>
      <c r="B140" s="61" t="str">
        <f t="shared" si="6"/>
        <v>2017</v>
      </c>
      <c r="C140" s="86">
        <v>23348</v>
      </c>
      <c r="D140" s="61">
        <v>139</v>
      </c>
      <c r="E140" s="64">
        <f t="shared" si="7"/>
        <v>19321</v>
      </c>
    </row>
    <row r="141" spans="1:5" x14ac:dyDescent="0.35">
      <c r="A141" s="68" t="s">
        <v>133</v>
      </c>
      <c r="B141" s="61" t="str">
        <f t="shared" si="6"/>
        <v>2017</v>
      </c>
      <c r="C141" s="86">
        <v>22294</v>
      </c>
      <c r="D141" s="61">
        <v>140</v>
      </c>
      <c r="E141" s="64">
        <f t="shared" si="7"/>
        <v>19600</v>
      </c>
    </row>
    <row r="142" spans="1:5" x14ac:dyDescent="0.35">
      <c r="A142" s="70" t="s">
        <v>134</v>
      </c>
      <c r="B142" s="61" t="str">
        <f t="shared" si="6"/>
        <v>2017</v>
      </c>
      <c r="C142" s="86">
        <v>23737</v>
      </c>
      <c r="D142" s="61">
        <v>141</v>
      </c>
      <c r="E142" s="64">
        <f t="shared" si="7"/>
        <v>19881</v>
      </c>
    </row>
    <row r="143" spans="1:5" x14ac:dyDescent="0.35">
      <c r="A143" s="68" t="s">
        <v>135</v>
      </c>
      <c r="B143" s="61" t="str">
        <f t="shared" si="6"/>
        <v>2017</v>
      </c>
      <c r="C143" s="86">
        <v>23055</v>
      </c>
      <c r="D143" s="61">
        <v>142</v>
      </c>
      <c r="E143" s="64">
        <f t="shared" si="7"/>
        <v>20164</v>
      </c>
    </row>
    <row r="144" spans="1:5" x14ac:dyDescent="0.35">
      <c r="A144" s="68" t="s">
        <v>136</v>
      </c>
      <c r="B144" s="61" t="str">
        <f t="shared" si="6"/>
        <v>2017</v>
      </c>
      <c r="C144" s="86">
        <v>22295</v>
      </c>
      <c r="D144" s="61">
        <v>143</v>
      </c>
      <c r="E144" s="64">
        <f t="shared" si="7"/>
        <v>20449</v>
      </c>
    </row>
    <row r="145" spans="1:5" x14ac:dyDescent="0.35">
      <c r="A145" s="68" t="s">
        <v>137</v>
      </c>
      <c r="B145" s="61" t="str">
        <f t="shared" si="6"/>
        <v>2017</v>
      </c>
      <c r="C145" s="86">
        <v>23540</v>
      </c>
      <c r="D145" s="61">
        <v>144</v>
      </c>
      <c r="E145" s="64">
        <f t="shared" si="7"/>
        <v>20736</v>
      </c>
    </row>
    <row r="146" spans="1:5" x14ac:dyDescent="0.35">
      <c r="A146" s="68" t="s">
        <v>138</v>
      </c>
      <c r="B146" s="61" t="str">
        <f t="shared" si="6"/>
        <v>2017</v>
      </c>
      <c r="C146" s="86">
        <v>22628</v>
      </c>
      <c r="D146" s="61">
        <v>145</v>
      </c>
      <c r="E146" s="64">
        <f t="shared" si="7"/>
        <v>21025</v>
      </c>
    </row>
    <row r="147" spans="1:5" x14ac:dyDescent="0.35">
      <c r="A147" s="68" t="s">
        <v>139</v>
      </c>
      <c r="B147" s="61" t="str">
        <f t="shared" si="6"/>
        <v>2017</v>
      </c>
      <c r="C147" s="86">
        <v>24105</v>
      </c>
      <c r="D147" s="61">
        <v>146</v>
      </c>
      <c r="E147" s="64">
        <f t="shared" si="7"/>
        <v>21316</v>
      </c>
    </row>
    <row r="148" spans="1:5" x14ac:dyDescent="0.35">
      <c r="A148" s="68" t="s">
        <v>140</v>
      </c>
      <c r="B148" s="61" t="str">
        <f t="shared" si="6"/>
        <v>2017</v>
      </c>
      <c r="C148" s="86">
        <v>23359</v>
      </c>
      <c r="D148" s="61">
        <v>147</v>
      </c>
      <c r="E148" s="64">
        <f t="shared" si="7"/>
        <v>21609</v>
      </c>
    </row>
    <row r="149" spans="1:5" x14ac:dyDescent="0.35">
      <c r="A149" s="68" t="s">
        <v>141</v>
      </c>
      <c r="B149" s="61" t="str">
        <f t="shared" si="6"/>
        <v>2017</v>
      </c>
      <c r="C149" s="86">
        <v>25422</v>
      </c>
      <c r="D149" s="61">
        <v>148</v>
      </c>
      <c r="E149" s="64">
        <f t="shared" si="7"/>
        <v>21904</v>
      </c>
    </row>
    <row r="150" spans="1:5" x14ac:dyDescent="0.35">
      <c r="A150" s="68" t="s">
        <v>142</v>
      </c>
      <c r="B150" s="61" t="str">
        <f t="shared" si="6"/>
        <v>2018</v>
      </c>
      <c r="C150" s="86">
        <v>24280</v>
      </c>
      <c r="D150" s="61">
        <v>149</v>
      </c>
      <c r="E150" s="64">
        <f t="shared" si="7"/>
        <v>22201</v>
      </c>
    </row>
    <row r="151" spans="1:5" x14ac:dyDescent="0.35">
      <c r="A151" s="68" t="s">
        <v>143</v>
      </c>
      <c r="B151" s="61" t="str">
        <f t="shared" si="6"/>
        <v>2018</v>
      </c>
      <c r="C151" s="86">
        <v>22007</v>
      </c>
      <c r="D151" s="61">
        <v>150</v>
      </c>
      <c r="E151" s="64">
        <f t="shared" si="7"/>
        <v>22500</v>
      </c>
    </row>
    <row r="152" spans="1:5" x14ac:dyDescent="0.35">
      <c r="A152" s="68" t="s">
        <v>144</v>
      </c>
      <c r="B152" s="61" t="str">
        <f t="shared" si="6"/>
        <v>2018</v>
      </c>
      <c r="C152" s="86">
        <v>24075</v>
      </c>
      <c r="D152" s="61">
        <v>151</v>
      </c>
      <c r="E152" s="64">
        <f t="shared" si="7"/>
        <v>22801</v>
      </c>
    </row>
    <row r="153" spans="1:5" x14ac:dyDescent="0.35">
      <c r="A153" s="68" t="s">
        <v>145</v>
      </c>
      <c r="B153" s="61" t="str">
        <f t="shared" si="6"/>
        <v>2018</v>
      </c>
      <c r="C153" s="86">
        <v>23242</v>
      </c>
      <c r="D153" s="61">
        <v>152</v>
      </c>
      <c r="E153" s="64">
        <f t="shared" si="7"/>
        <v>23104</v>
      </c>
    </row>
    <row r="154" spans="1:5" x14ac:dyDescent="0.35">
      <c r="A154" s="70" t="s">
        <v>146</v>
      </c>
      <c r="B154" s="61" t="str">
        <f t="shared" si="6"/>
        <v>2018</v>
      </c>
      <c r="C154" s="86">
        <v>24848</v>
      </c>
      <c r="D154" s="61">
        <v>153</v>
      </c>
      <c r="E154" s="64">
        <f t="shared" si="7"/>
        <v>23409</v>
      </c>
    </row>
    <row r="155" spans="1:5" x14ac:dyDescent="0.35">
      <c r="A155" s="68" t="s">
        <v>147</v>
      </c>
      <c r="B155" s="61" t="str">
        <f t="shared" si="6"/>
        <v>2018</v>
      </c>
      <c r="C155" s="86">
        <v>23329</v>
      </c>
      <c r="D155" s="61">
        <v>154</v>
      </c>
      <c r="E155" s="64">
        <f t="shared" si="7"/>
        <v>23716</v>
      </c>
    </row>
    <row r="156" spans="1:5" x14ac:dyDescent="0.35">
      <c r="A156" s="68" t="s">
        <v>148</v>
      </c>
      <c r="B156" s="61" t="str">
        <f t="shared" si="6"/>
        <v>2018</v>
      </c>
      <c r="C156" s="86">
        <v>23581</v>
      </c>
      <c r="D156" s="61">
        <v>155</v>
      </c>
      <c r="E156" s="64">
        <f t="shared" si="7"/>
        <v>24025</v>
      </c>
    </row>
    <row r="157" spans="1:5" x14ac:dyDescent="0.35">
      <c r="A157" s="68" t="s">
        <v>149</v>
      </c>
      <c r="B157" s="61" t="str">
        <f t="shared" si="6"/>
        <v>2018</v>
      </c>
      <c r="C157" s="86">
        <v>24762</v>
      </c>
      <c r="D157" s="61">
        <v>156</v>
      </c>
      <c r="E157" s="64">
        <f t="shared" si="7"/>
        <v>24336</v>
      </c>
    </row>
    <row r="158" spans="1:5" x14ac:dyDescent="0.35">
      <c r="A158" s="68" t="s">
        <v>150</v>
      </c>
      <c r="B158" s="61" t="str">
        <f t="shared" si="6"/>
        <v>2018</v>
      </c>
      <c r="C158" s="86">
        <v>22930</v>
      </c>
      <c r="D158" s="61">
        <v>157</v>
      </c>
      <c r="E158" s="64">
        <f t="shared" si="7"/>
        <v>24649</v>
      </c>
    </row>
    <row r="159" spans="1:5" x14ac:dyDescent="0.35">
      <c r="A159" s="68" t="s">
        <v>151</v>
      </c>
      <c r="B159" s="61" t="str">
        <f t="shared" si="6"/>
        <v>2018</v>
      </c>
      <c r="C159" s="86">
        <v>25608</v>
      </c>
      <c r="D159" s="61">
        <v>158</v>
      </c>
      <c r="E159" s="64">
        <f t="shared" si="7"/>
        <v>24964</v>
      </c>
    </row>
    <row r="160" spans="1:5" x14ac:dyDescent="0.35">
      <c r="A160" s="68" t="s">
        <v>152</v>
      </c>
      <c r="B160" s="61" t="str">
        <f t="shared" si="6"/>
        <v>2018</v>
      </c>
      <c r="C160" s="86">
        <v>24553</v>
      </c>
      <c r="D160" s="61">
        <v>159</v>
      </c>
      <c r="E160" s="64">
        <f t="shared" si="7"/>
        <v>25281</v>
      </c>
    </row>
    <row r="161" spans="1:5" x14ac:dyDescent="0.35">
      <c r="A161" s="68" t="s">
        <v>153</v>
      </c>
      <c r="B161" s="61" t="str">
        <f t="shared" si="6"/>
        <v>2018</v>
      </c>
      <c r="C161" s="86">
        <v>25631</v>
      </c>
      <c r="D161" s="61">
        <v>160</v>
      </c>
      <c r="E161" s="64">
        <f t="shared" si="7"/>
        <v>25600</v>
      </c>
    </row>
    <row r="162" spans="1:5" x14ac:dyDescent="0.35">
      <c r="A162" s="68" t="s">
        <v>154</v>
      </c>
      <c r="B162" s="61" t="str">
        <f t="shared" ref="B162:B193" si="8">MID(A162,6,4)</f>
        <v>2019</v>
      </c>
      <c r="C162" s="86">
        <v>25037</v>
      </c>
      <c r="D162" s="61">
        <v>161</v>
      </c>
      <c r="E162" s="64">
        <f t="shared" si="7"/>
        <v>25921</v>
      </c>
    </row>
    <row r="163" spans="1:5" x14ac:dyDescent="0.35">
      <c r="A163" s="68" t="s">
        <v>155</v>
      </c>
      <c r="B163" s="61" t="str">
        <f t="shared" si="8"/>
        <v>2019</v>
      </c>
      <c r="C163" s="86">
        <v>23240</v>
      </c>
      <c r="D163" s="61">
        <v>162</v>
      </c>
      <c r="E163" s="64">
        <f t="shared" si="7"/>
        <v>26244</v>
      </c>
    </row>
    <row r="164" spans="1:5" x14ac:dyDescent="0.35">
      <c r="A164" s="68" t="s">
        <v>156</v>
      </c>
      <c r="B164" s="61" t="str">
        <f t="shared" si="8"/>
        <v>2019</v>
      </c>
      <c r="C164" s="86">
        <v>24577</v>
      </c>
      <c r="D164" s="61">
        <v>163</v>
      </c>
      <c r="E164" s="64">
        <f t="shared" si="7"/>
        <v>26569</v>
      </c>
    </row>
    <row r="165" spans="1:5" x14ac:dyDescent="0.35">
      <c r="A165" s="68" t="s">
        <v>157</v>
      </c>
      <c r="B165" s="61" t="str">
        <f t="shared" si="8"/>
        <v>2019</v>
      </c>
      <c r="C165" s="86">
        <v>24806</v>
      </c>
      <c r="D165" s="61">
        <v>164</v>
      </c>
      <c r="E165" s="64">
        <f t="shared" si="7"/>
        <v>26896</v>
      </c>
    </row>
    <row r="166" spans="1:5" x14ac:dyDescent="0.35">
      <c r="A166" s="70" t="s">
        <v>158</v>
      </c>
      <c r="B166" s="61" t="str">
        <f t="shared" si="8"/>
        <v>2019</v>
      </c>
      <c r="C166" s="86">
        <v>25717</v>
      </c>
      <c r="D166" s="61">
        <v>165</v>
      </c>
      <c r="E166" s="64">
        <f t="shared" si="7"/>
        <v>27225</v>
      </c>
    </row>
    <row r="167" spans="1:5" x14ac:dyDescent="0.35">
      <c r="A167" s="68" t="s">
        <v>159</v>
      </c>
      <c r="B167" s="61" t="str">
        <f t="shared" si="8"/>
        <v>2019</v>
      </c>
      <c r="C167" s="86">
        <v>23745</v>
      </c>
      <c r="D167" s="61">
        <v>166</v>
      </c>
      <c r="E167" s="64">
        <f t="shared" si="7"/>
        <v>27556</v>
      </c>
    </row>
    <row r="168" spans="1:5" x14ac:dyDescent="0.35">
      <c r="A168" s="68" t="s">
        <v>160</v>
      </c>
      <c r="B168" s="61" t="str">
        <f t="shared" si="8"/>
        <v>2019</v>
      </c>
      <c r="C168" s="86">
        <v>24531</v>
      </c>
      <c r="D168" s="61">
        <v>167</v>
      </c>
      <c r="E168" s="64">
        <f t="shared" si="7"/>
        <v>27889</v>
      </c>
    </row>
    <row r="169" spans="1:5" x14ac:dyDescent="0.35">
      <c r="A169" s="68" t="s">
        <v>161</v>
      </c>
      <c r="B169" s="61" t="str">
        <f t="shared" si="8"/>
        <v>2019</v>
      </c>
      <c r="C169" s="86">
        <v>24710</v>
      </c>
      <c r="D169" s="61">
        <v>168</v>
      </c>
      <c r="E169" s="64">
        <f t="shared" si="7"/>
        <v>28224</v>
      </c>
    </row>
    <row r="170" spans="1:5" x14ac:dyDescent="0.35">
      <c r="A170" s="68" t="s">
        <v>162</v>
      </c>
      <c r="B170" s="61" t="str">
        <f t="shared" si="8"/>
        <v>2019</v>
      </c>
      <c r="C170" s="86">
        <v>23630</v>
      </c>
      <c r="D170" s="61">
        <v>169</v>
      </c>
      <c r="E170" s="64">
        <f t="shared" si="7"/>
        <v>28561</v>
      </c>
    </row>
    <row r="171" spans="1:5" x14ac:dyDescent="0.35">
      <c r="A171" s="68" t="s">
        <v>163</v>
      </c>
      <c r="B171" s="61" t="str">
        <f t="shared" si="8"/>
        <v>2019</v>
      </c>
      <c r="C171" s="86">
        <v>26097</v>
      </c>
      <c r="D171" s="61">
        <v>170</v>
      </c>
      <c r="E171" s="64">
        <f t="shared" si="7"/>
        <v>28900</v>
      </c>
    </row>
    <row r="172" spans="1:5" x14ac:dyDescent="0.35">
      <c r="A172" s="68" t="s">
        <v>164</v>
      </c>
      <c r="B172" s="61" t="str">
        <f t="shared" si="8"/>
        <v>2019</v>
      </c>
      <c r="C172" s="86">
        <v>23964</v>
      </c>
      <c r="D172" s="61">
        <v>171</v>
      </c>
      <c r="E172" s="64">
        <f t="shared" si="7"/>
        <v>29241</v>
      </c>
    </row>
    <row r="173" spans="1:5" x14ac:dyDescent="0.35">
      <c r="A173" s="68" t="s">
        <v>165</v>
      </c>
      <c r="B173" s="61" t="str">
        <f t="shared" si="8"/>
        <v>2019</v>
      </c>
      <c r="C173" s="86">
        <v>26509</v>
      </c>
      <c r="D173" s="61">
        <v>172</v>
      </c>
      <c r="E173" s="64">
        <f t="shared" si="7"/>
        <v>29584</v>
      </c>
    </row>
    <row r="174" spans="1:5" x14ac:dyDescent="0.35">
      <c r="A174" s="68" t="s">
        <v>166</v>
      </c>
      <c r="B174" s="61" t="str">
        <f t="shared" si="8"/>
        <v>2020</v>
      </c>
      <c r="C174" s="86">
        <v>25209</v>
      </c>
      <c r="D174" s="61">
        <v>173</v>
      </c>
      <c r="E174" s="64">
        <f t="shared" si="7"/>
        <v>29929</v>
      </c>
    </row>
    <row r="175" spans="1:5" x14ac:dyDescent="0.35">
      <c r="A175" s="68" t="s">
        <v>167</v>
      </c>
      <c r="B175" s="61" t="str">
        <f t="shared" si="8"/>
        <v>2020</v>
      </c>
      <c r="C175" s="86">
        <v>23934</v>
      </c>
      <c r="D175" s="61">
        <v>174</v>
      </c>
      <c r="E175" s="64">
        <f t="shared" si="7"/>
        <v>30276</v>
      </c>
    </row>
    <row r="176" spans="1:5" x14ac:dyDescent="0.35">
      <c r="A176" s="68" t="s">
        <v>168</v>
      </c>
      <c r="B176" s="61" t="str">
        <f t="shared" si="8"/>
        <v>2020</v>
      </c>
      <c r="C176" s="86">
        <v>27839</v>
      </c>
      <c r="D176" s="61">
        <v>175</v>
      </c>
      <c r="E176" s="64">
        <f t="shared" si="7"/>
        <v>30625</v>
      </c>
    </row>
    <row r="177" spans="1:5" x14ac:dyDescent="0.35">
      <c r="A177" s="68" t="s">
        <v>169</v>
      </c>
      <c r="B177" s="61" t="str">
        <f t="shared" si="8"/>
        <v>2020</v>
      </c>
      <c r="C177" s="86">
        <v>24749</v>
      </c>
      <c r="D177" s="61">
        <v>176</v>
      </c>
      <c r="E177" s="64">
        <f t="shared" si="7"/>
        <v>30976</v>
      </c>
    </row>
    <row r="178" spans="1:5" x14ac:dyDescent="0.35">
      <c r="A178" s="70" t="s">
        <v>170</v>
      </c>
      <c r="B178" s="61" t="str">
        <f t="shared" si="8"/>
        <v>2020</v>
      </c>
      <c r="C178" s="86">
        <v>24923</v>
      </c>
      <c r="D178" s="61">
        <v>177</v>
      </c>
      <c r="E178" s="64">
        <f t="shared" si="7"/>
        <v>31329</v>
      </c>
    </row>
    <row r="179" spans="1:5" x14ac:dyDescent="0.35">
      <c r="A179" s="68" t="s">
        <v>171</v>
      </c>
      <c r="B179" s="61" t="str">
        <f t="shared" si="8"/>
        <v>2020</v>
      </c>
      <c r="C179" s="86">
        <v>25841</v>
      </c>
      <c r="D179" s="61">
        <v>178</v>
      </c>
      <c r="E179" s="64">
        <f t="shared" si="7"/>
        <v>31684</v>
      </c>
    </row>
    <row r="180" spans="1:5" x14ac:dyDescent="0.35">
      <c r="A180" s="68" t="s">
        <v>172</v>
      </c>
      <c r="B180" s="61" t="str">
        <f t="shared" si="8"/>
        <v>2020</v>
      </c>
      <c r="C180" s="86">
        <v>26334</v>
      </c>
      <c r="D180" s="61">
        <v>179</v>
      </c>
      <c r="E180" s="64">
        <f t="shared" si="7"/>
        <v>32041</v>
      </c>
    </row>
    <row r="181" spans="1:5" ht="15" thickBot="1" x14ac:dyDescent="0.4">
      <c r="A181" s="71" t="s">
        <v>173</v>
      </c>
      <c r="B181" s="72" t="str">
        <f t="shared" si="8"/>
        <v>2020</v>
      </c>
      <c r="C181" s="87">
        <v>25913</v>
      </c>
      <c r="D181" s="72">
        <v>180</v>
      </c>
      <c r="E181" s="75">
        <f t="shared" si="7"/>
        <v>32400</v>
      </c>
    </row>
  </sheetData>
  <mergeCells count="1">
    <mergeCell ref="G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2D17-21AF-44EE-AF22-BE30CA1B00AF}">
  <dimension ref="A1:J205"/>
  <sheetViews>
    <sheetView workbookViewId="0">
      <selection activeCell="E13" sqref="E13"/>
    </sheetView>
  </sheetViews>
  <sheetFormatPr defaultRowHeight="14.5" x14ac:dyDescent="0.35"/>
  <cols>
    <col min="1" max="1" width="18.54296875" bestFit="1" customWidth="1"/>
    <col min="2" max="2" width="22.453125" customWidth="1"/>
    <col min="3" max="3" width="16.08984375" bestFit="1" customWidth="1"/>
    <col min="4" max="4" width="14.6328125" bestFit="1" customWidth="1"/>
    <col min="5" max="5" width="8.81640625" bestFit="1" customWidth="1"/>
    <col min="6" max="6" width="11.81640625" customWidth="1"/>
    <col min="7" max="7" width="11.08984375" bestFit="1" customWidth="1"/>
    <col min="8" max="9" width="10.08984375" bestFit="1" customWidth="1"/>
  </cols>
  <sheetData>
    <row r="1" spans="1:10" ht="15" thickBot="1" x14ac:dyDescent="0.4">
      <c r="A1" s="8" t="s">
        <v>185</v>
      </c>
      <c r="B1" s="8"/>
      <c r="C1" s="113" t="s">
        <v>243</v>
      </c>
      <c r="D1" s="114"/>
      <c r="E1" s="114"/>
      <c r="F1" s="114"/>
      <c r="G1" s="114"/>
      <c r="H1" s="114"/>
      <c r="I1" s="114"/>
      <c r="J1" s="115"/>
    </row>
    <row r="2" spans="1:10" ht="15" thickBot="1" x14ac:dyDescent="0.4">
      <c r="A2" s="8"/>
      <c r="B2" s="8"/>
      <c r="C2" s="8"/>
      <c r="D2" s="8"/>
      <c r="E2" s="8"/>
      <c r="F2" s="8"/>
      <c r="G2" s="8"/>
      <c r="H2" s="8"/>
      <c r="I2" s="8"/>
    </row>
    <row r="3" spans="1:10" x14ac:dyDescent="0.35">
      <c r="A3" s="9" t="s">
        <v>186</v>
      </c>
      <c r="B3" s="9"/>
      <c r="C3" s="8"/>
      <c r="D3" s="8"/>
      <c r="E3" s="8"/>
      <c r="F3" s="8"/>
      <c r="G3" s="8"/>
      <c r="H3" s="8"/>
      <c r="I3" s="8"/>
    </row>
    <row r="4" spans="1:10" x14ac:dyDescent="0.35">
      <c r="A4" s="10" t="s">
        <v>187</v>
      </c>
      <c r="B4" s="10">
        <v>0.95724623181910362</v>
      </c>
      <c r="C4" s="8"/>
      <c r="D4" s="8"/>
      <c r="E4" s="8"/>
      <c r="F4" s="8"/>
      <c r="G4" s="8"/>
      <c r="H4" s="8"/>
      <c r="I4" s="8"/>
    </row>
    <row r="5" spans="1:10" x14ac:dyDescent="0.35">
      <c r="A5" s="10" t="s">
        <v>188</v>
      </c>
      <c r="B5" s="14">
        <v>0.91632034833187304</v>
      </c>
      <c r="C5" s="8"/>
      <c r="D5" s="8"/>
      <c r="E5" s="8"/>
      <c r="F5" s="8"/>
      <c r="G5" s="8"/>
      <c r="H5" s="8"/>
      <c r="I5" s="8"/>
    </row>
    <row r="6" spans="1:10" ht="18.5" x14ac:dyDescent="0.45">
      <c r="A6" s="10" t="s">
        <v>189</v>
      </c>
      <c r="B6" s="31">
        <v>0.9153748155446626</v>
      </c>
      <c r="C6" s="8"/>
      <c r="D6" s="8"/>
      <c r="E6" s="8"/>
      <c r="F6" s="8"/>
      <c r="G6" s="8"/>
      <c r="H6" s="8"/>
      <c r="I6" s="8"/>
    </row>
    <row r="7" spans="1:10" x14ac:dyDescent="0.35">
      <c r="A7" s="10" t="s">
        <v>190</v>
      </c>
      <c r="B7" s="24">
        <v>886.76384458239431</v>
      </c>
      <c r="C7" s="8"/>
      <c r="D7" s="8"/>
      <c r="E7" s="8"/>
      <c r="F7" s="8"/>
      <c r="G7" s="8"/>
      <c r="H7" s="8"/>
      <c r="I7" s="8"/>
    </row>
    <row r="8" spans="1:10" ht="15" thickBot="1" x14ac:dyDescent="0.4">
      <c r="A8" s="11" t="s">
        <v>191</v>
      </c>
      <c r="B8" s="27">
        <v>180</v>
      </c>
      <c r="C8" s="8"/>
      <c r="D8" s="8"/>
      <c r="E8" s="8"/>
      <c r="F8" s="8"/>
      <c r="G8" s="8"/>
      <c r="H8" s="8"/>
      <c r="I8" s="8"/>
    </row>
    <row r="9" spans="1:10" x14ac:dyDescent="0.35">
      <c r="A9" s="8"/>
      <c r="B9" s="8"/>
      <c r="C9" s="8"/>
      <c r="D9" s="8"/>
      <c r="E9" s="8"/>
      <c r="F9" s="8"/>
      <c r="G9" s="8"/>
      <c r="H9" s="8"/>
      <c r="I9" s="8"/>
    </row>
    <row r="10" spans="1:10" ht="15" thickBot="1" x14ac:dyDescent="0.4">
      <c r="A10" s="8" t="s">
        <v>192</v>
      </c>
      <c r="B10" s="8"/>
      <c r="C10" s="8"/>
      <c r="D10" s="8"/>
      <c r="E10" s="8"/>
      <c r="F10" s="8"/>
      <c r="G10" s="8"/>
      <c r="H10" s="8"/>
      <c r="I10" s="8"/>
    </row>
    <row r="11" spans="1:10" x14ac:dyDescent="0.35">
      <c r="A11" s="12"/>
      <c r="B11" s="12" t="s">
        <v>197</v>
      </c>
      <c r="C11" s="12" t="s">
        <v>198</v>
      </c>
      <c r="D11" s="12" t="s">
        <v>199</v>
      </c>
      <c r="E11" s="12" t="s">
        <v>200</v>
      </c>
      <c r="F11" s="12" t="s">
        <v>201</v>
      </c>
      <c r="G11" s="8"/>
      <c r="H11" s="8"/>
      <c r="I11" s="8"/>
    </row>
    <row r="12" spans="1:10" x14ac:dyDescent="0.35">
      <c r="A12" s="10" t="s">
        <v>193</v>
      </c>
      <c r="B12" s="28">
        <v>2</v>
      </c>
      <c r="C12" s="10">
        <v>1524111320.1020818</v>
      </c>
      <c r="D12" s="10">
        <v>762055660.05104089</v>
      </c>
      <c r="E12" s="10">
        <v>969.10478486443174</v>
      </c>
      <c r="F12" s="10">
        <v>4.4859862403042361E-96</v>
      </c>
      <c r="G12" s="8"/>
      <c r="H12" s="8"/>
      <c r="I12" s="8"/>
    </row>
    <row r="13" spans="1:10" x14ac:dyDescent="0.35">
      <c r="A13" s="10" t="s">
        <v>194</v>
      </c>
      <c r="B13" s="88">
        <v>177</v>
      </c>
      <c r="C13" s="10">
        <v>139183970.54236314</v>
      </c>
      <c r="D13" s="10">
        <v>786350.1160585488</v>
      </c>
      <c r="E13" s="10"/>
      <c r="F13" s="10"/>
      <c r="G13" s="8"/>
      <c r="H13" s="8"/>
      <c r="I13" s="8"/>
    </row>
    <row r="14" spans="1:10" ht="15" thickBot="1" x14ac:dyDescent="0.4">
      <c r="A14" s="11" t="s">
        <v>195</v>
      </c>
      <c r="B14" s="29">
        <v>179</v>
      </c>
      <c r="C14" s="11">
        <v>1663295290.6444449</v>
      </c>
      <c r="D14" s="11"/>
      <c r="E14" s="11"/>
      <c r="F14" s="11"/>
      <c r="G14" s="8"/>
      <c r="H14" s="8"/>
      <c r="I14" s="8"/>
    </row>
    <row r="15" spans="1:10" ht="15" thickBot="1" x14ac:dyDescent="0.4">
      <c r="A15" s="8"/>
      <c r="B15" s="8"/>
      <c r="C15" s="8"/>
      <c r="D15" s="8"/>
      <c r="E15" s="8"/>
      <c r="F15" s="8"/>
      <c r="G15" s="8"/>
      <c r="H15" s="8"/>
      <c r="I15" s="8"/>
    </row>
    <row r="16" spans="1:10" x14ac:dyDescent="0.35">
      <c r="A16" s="12"/>
      <c r="B16" s="12" t="s">
        <v>202</v>
      </c>
      <c r="C16" s="12" t="s">
        <v>190</v>
      </c>
      <c r="D16" s="12" t="s">
        <v>203</v>
      </c>
      <c r="E16" s="12" t="s">
        <v>204</v>
      </c>
      <c r="F16" s="12" t="s">
        <v>205</v>
      </c>
      <c r="G16" s="12" t="s">
        <v>206</v>
      </c>
    </row>
    <row r="17" spans="1:9" x14ac:dyDescent="0.35">
      <c r="A17" s="10" t="s">
        <v>196</v>
      </c>
      <c r="B17" s="24">
        <v>15750.162099052162</v>
      </c>
      <c r="C17" s="24">
        <v>200.51018904014992</v>
      </c>
      <c r="D17" s="10">
        <v>78.550432646085468</v>
      </c>
      <c r="E17" s="15">
        <v>1.5874557895683498E-139</v>
      </c>
      <c r="F17" s="24">
        <v>15354.463822497943</v>
      </c>
      <c r="G17" s="24">
        <v>16145.860375606382</v>
      </c>
    </row>
    <row r="18" spans="1:9" x14ac:dyDescent="0.35">
      <c r="A18" s="10" t="s">
        <v>184</v>
      </c>
      <c r="B18" s="24">
        <v>39.54440455814742</v>
      </c>
      <c r="C18" s="24">
        <v>5.1149118932023843</v>
      </c>
      <c r="D18" s="10">
        <v>7.7311995560864197</v>
      </c>
      <c r="E18" s="15">
        <v>7.7060859445857055E-13</v>
      </c>
      <c r="F18" s="24">
        <v>29.450344846989378</v>
      </c>
      <c r="G18" s="24">
        <v>49.638464269305459</v>
      </c>
    </row>
    <row r="19" spans="1:9" ht="15" thickBot="1" x14ac:dyDescent="0.4">
      <c r="A19" s="11" t="s">
        <v>211</v>
      </c>
      <c r="B19" s="25">
        <v>9.0055999509440085E-2</v>
      </c>
      <c r="C19" s="25">
        <v>2.7371366479909284E-2</v>
      </c>
      <c r="D19" s="11">
        <v>3.2901535835100386</v>
      </c>
      <c r="E19" s="39">
        <v>1.2083718016703323E-3</v>
      </c>
      <c r="F19" s="25">
        <v>3.6039779212199863E-2</v>
      </c>
      <c r="G19" s="25">
        <v>0.14407221980668031</v>
      </c>
    </row>
    <row r="20" spans="1:9" x14ac:dyDescent="0.35">
      <c r="A20" s="8"/>
      <c r="B20" s="8"/>
      <c r="C20" s="8"/>
      <c r="D20" s="8"/>
      <c r="E20" s="8"/>
      <c r="F20" s="8"/>
      <c r="G20" s="8"/>
      <c r="H20" s="8"/>
      <c r="I20" s="8"/>
    </row>
    <row r="21" spans="1:9" x14ac:dyDescent="0.35">
      <c r="A21" s="8"/>
      <c r="B21" s="8"/>
      <c r="C21" s="8"/>
      <c r="D21" s="8"/>
      <c r="E21" s="8"/>
      <c r="F21" s="8"/>
      <c r="G21" s="8"/>
      <c r="H21" s="8"/>
      <c r="I21" s="8"/>
    </row>
    <row r="22" spans="1:9" x14ac:dyDescent="0.35">
      <c r="A22" s="8"/>
      <c r="B22" s="8"/>
      <c r="C22" s="8"/>
      <c r="D22" s="8"/>
      <c r="E22" s="8"/>
      <c r="F22" s="8"/>
      <c r="G22" s="8"/>
      <c r="H22" s="8"/>
      <c r="I22" s="8"/>
    </row>
    <row r="23" spans="1:9" x14ac:dyDescent="0.35">
      <c r="A23" s="8" t="s">
        <v>207</v>
      </c>
      <c r="B23" s="8"/>
      <c r="C23" s="8"/>
      <c r="D23" s="8"/>
      <c r="E23" s="8"/>
      <c r="F23" s="8"/>
      <c r="G23" s="8"/>
      <c r="H23" s="8"/>
      <c r="I23" s="8"/>
    </row>
    <row r="24" spans="1:9" ht="15" thickBot="1" x14ac:dyDescent="0.4">
      <c r="A24" s="8"/>
      <c r="B24" s="8"/>
      <c r="C24" s="8"/>
      <c r="D24" s="8"/>
      <c r="E24" s="8"/>
      <c r="F24" s="8"/>
      <c r="G24" s="8"/>
      <c r="H24" s="8"/>
      <c r="I24" s="8"/>
    </row>
    <row r="25" spans="1:9" x14ac:dyDescent="0.35">
      <c r="A25" s="12" t="s">
        <v>208</v>
      </c>
      <c r="B25" s="12" t="s">
        <v>209</v>
      </c>
      <c r="C25" s="12" t="s">
        <v>210</v>
      </c>
      <c r="D25" s="8"/>
      <c r="E25" s="8"/>
      <c r="F25" s="8"/>
      <c r="G25" s="8"/>
      <c r="H25" s="8"/>
      <c r="I25" s="8"/>
    </row>
    <row r="26" spans="1:9" x14ac:dyDescent="0.35">
      <c r="A26" s="10">
        <v>1</v>
      </c>
      <c r="B26" s="24">
        <v>15789.79655960982</v>
      </c>
      <c r="C26" s="24">
        <v>-1174.7965596098202</v>
      </c>
      <c r="D26" s="8"/>
      <c r="E26" s="8"/>
      <c r="F26" s="8"/>
      <c r="G26" s="8"/>
      <c r="H26" s="8"/>
      <c r="I26" s="8"/>
    </row>
    <row r="27" spans="1:9" x14ac:dyDescent="0.35">
      <c r="A27" s="10">
        <v>2</v>
      </c>
      <c r="B27" s="24">
        <v>15829.611132166494</v>
      </c>
      <c r="C27" s="24">
        <v>-983.61113216649392</v>
      </c>
      <c r="D27" s="8"/>
      <c r="E27" s="8"/>
      <c r="F27" s="8"/>
      <c r="G27" s="8"/>
      <c r="H27" s="8"/>
      <c r="I27" s="8"/>
    </row>
    <row r="28" spans="1:9" x14ac:dyDescent="0.35">
      <c r="A28" s="10">
        <v>3</v>
      </c>
      <c r="B28" s="24">
        <v>15869.605816722189</v>
      </c>
      <c r="C28" s="24">
        <v>-984.60581672218905</v>
      </c>
      <c r="D28" s="8"/>
      <c r="E28" s="8"/>
      <c r="F28" s="8"/>
      <c r="G28" s="8"/>
      <c r="H28" s="8"/>
      <c r="I28" s="8"/>
    </row>
    <row r="29" spans="1:9" x14ac:dyDescent="0.35">
      <c r="A29" s="10">
        <v>4</v>
      </c>
      <c r="B29" s="24">
        <v>15909.780613276904</v>
      </c>
      <c r="C29" s="24">
        <v>1193.2193867230962</v>
      </c>
      <c r="D29" s="8"/>
      <c r="E29" s="8"/>
      <c r="F29" s="8"/>
      <c r="G29" s="8"/>
      <c r="H29" s="8"/>
      <c r="I29" s="8"/>
    </row>
    <row r="30" spans="1:9" x14ac:dyDescent="0.35">
      <c r="A30" s="10">
        <v>5</v>
      </c>
      <c r="B30" s="24">
        <v>15950.135521830634</v>
      </c>
      <c r="C30" s="24">
        <v>-693.13552183063439</v>
      </c>
      <c r="D30" s="8"/>
      <c r="E30" s="8"/>
      <c r="F30" s="8"/>
      <c r="G30" s="8"/>
      <c r="H30" s="8"/>
      <c r="I30" s="8"/>
    </row>
    <row r="31" spans="1:9" x14ac:dyDescent="0.35">
      <c r="A31" s="10">
        <v>6</v>
      </c>
      <c r="B31" s="24">
        <v>15990.670542383386</v>
      </c>
      <c r="C31" s="24">
        <v>-1309.6705423833864</v>
      </c>
      <c r="D31" s="8"/>
      <c r="E31" s="8"/>
      <c r="F31" s="8"/>
      <c r="G31" s="8"/>
      <c r="H31" s="8"/>
      <c r="I31" s="8"/>
    </row>
    <row r="32" spans="1:9" x14ac:dyDescent="0.35">
      <c r="A32" s="10">
        <v>7</v>
      </c>
      <c r="B32" s="24">
        <v>16031.385674935158</v>
      </c>
      <c r="C32" s="24">
        <v>142.61432506484198</v>
      </c>
      <c r="D32" s="8"/>
      <c r="E32" s="8"/>
      <c r="F32" s="8"/>
      <c r="G32" s="8"/>
      <c r="H32" s="8"/>
      <c r="I32" s="8"/>
    </row>
    <row r="33" spans="1:9" x14ac:dyDescent="0.35">
      <c r="A33" s="10">
        <v>8</v>
      </c>
      <c r="B33" s="24">
        <v>16072.280919485946</v>
      </c>
      <c r="C33" s="24">
        <v>-847.28091948594556</v>
      </c>
      <c r="D33" s="8"/>
      <c r="E33" s="8"/>
      <c r="F33" s="8"/>
      <c r="G33" s="8"/>
      <c r="H33" s="8"/>
      <c r="I33" s="8"/>
    </row>
    <row r="34" spans="1:9" x14ac:dyDescent="0.35">
      <c r="A34" s="10">
        <v>9</v>
      </c>
      <c r="B34" s="24">
        <v>16113.356276035754</v>
      </c>
      <c r="C34" s="24">
        <v>157.64372396424551</v>
      </c>
      <c r="D34" s="8"/>
      <c r="E34" s="8"/>
      <c r="F34" s="8"/>
      <c r="G34" s="8"/>
      <c r="H34" s="8"/>
      <c r="I34" s="8"/>
    </row>
    <row r="35" spans="1:9" x14ac:dyDescent="0.35">
      <c r="A35" s="10">
        <v>10</v>
      </c>
      <c r="B35" s="24">
        <v>16154.611744584581</v>
      </c>
      <c r="C35" s="24">
        <v>-434.61174458458117</v>
      </c>
      <c r="D35" s="8"/>
      <c r="E35" s="8"/>
      <c r="F35" s="8"/>
      <c r="G35" s="8"/>
      <c r="H35" s="8"/>
      <c r="I35" s="8"/>
    </row>
    <row r="36" spans="1:9" x14ac:dyDescent="0.35">
      <c r="A36" s="10">
        <v>11</v>
      </c>
      <c r="B36" s="24">
        <v>16196.047325132426</v>
      </c>
      <c r="C36" s="24">
        <v>-770.04732513242561</v>
      </c>
      <c r="D36" s="8"/>
      <c r="E36" s="8"/>
      <c r="F36" s="8"/>
      <c r="G36" s="8"/>
      <c r="H36" s="8"/>
      <c r="I36" s="8"/>
    </row>
    <row r="37" spans="1:9" x14ac:dyDescent="0.35">
      <c r="A37" s="10">
        <v>12</v>
      </c>
      <c r="B37" s="24">
        <v>16237.663017679291</v>
      </c>
      <c r="C37" s="24">
        <v>-145.66301767929144</v>
      </c>
      <c r="D37" s="8"/>
      <c r="E37" s="8"/>
      <c r="F37" s="8"/>
      <c r="G37" s="8"/>
      <c r="H37" s="8"/>
      <c r="I37" s="8"/>
    </row>
    <row r="38" spans="1:9" x14ac:dyDescent="0.35">
      <c r="A38" s="10">
        <v>13</v>
      </c>
      <c r="B38" s="24">
        <v>16279.458822225175</v>
      </c>
      <c r="C38" s="24">
        <v>-796.45882222517503</v>
      </c>
      <c r="D38" s="8"/>
      <c r="E38" s="8"/>
      <c r="F38" s="8"/>
      <c r="G38" s="8"/>
      <c r="H38" s="8"/>
      <c r="I38" s="8"/>
    </row>
    <row r="39" spans="1:9" x14ac:dyDescent="0.35">
      <c r="A39" s="10">
        <v>14</v>
      </c>
      <c r="B39" s="24">
        <v>16321.434738770076</v>
      </c>
      <c r="C39" s="24">
        <v>60.565261229923635</v>
      </c>
      <c r="D39" s="8"/>
      <c r="E39" s="8"/>
      <c r="F39" s="8"/>
      <c r="G39" s="8"/>
      <c r="H39" s="8"/>
      <c r="I39" s="8"/>
    </row>
    <row r="40" spans="1:9" x14ac:dyDescent="0.35">
      <c r="A40" s="10">
        <v>15</v>
      </c>
      <c r="B40" s="24">
        <v>16363.590767313997</v>
      </c>
      <c r="C40" s="24">
        <v>-111.59076731399728</v>
      </c>
      <c r="D40" s="8"/>
      <c r="E40" s="8"/>
      <c r="F40" s="8"/>
      <c r="G40" s="8"/>
      <c r="H40" s="8"/>
      <c r="I40" s="8"/>
    </row>
    <row r="41" spans="1:9" x14ac:dyDescent="0.35">
      <c r="A41" s="10">
        <v>16</v>
      </c>
      <c r="B41" s="24">
        <v>16405.926907856938</v>
      </c>
      <c r="C41" s="24">
        <v>1649.0730921430622</v>
      </c>
      <c r="D41" s="8"/>
      <c r="E41" s="8"/>
      <c r="F41" s="8"/>
      <c r="G41" s="8"/>
      <c r="H41" s="8"/>
      <c r="I41" s="8"/>
    </row>
    <row r="42" spans="1:9" x14ac:dyDescent="0.35">
      <c r="A42" s="10">
        <v>17</v>
      </c>
      <c r="B42" s="24">
        <v>16448.443160398896</v>
      </c>
      <c r="C42" s="24">
        <v>536.556839601104</v>
      </c>
      <c r="D42" s="8"/>
      <c r="E42" s="8"/>
      <c r="F42" s="8"/>
      <c r="G42" s="8"/>
      <c r="H42" s="8"/>
      <c r="I42" s="8"/>
    </row>
    <row r="43" spans="1:9" x14ac:dyDescent="0.35">
      <c r="A43" s="10">
        <v>18</v>
      </c>
      <c r="B43" s="24">
        <v>16491.139524939874</v>
      </c>
      <c r="C43" s="24">
        <v>-669.13952493987381</v>
      </c>
      <c r="D43" s="8"/>
      <c r="E43" s="8"/>
      <c r="F43" s="8"/>
      <c r="G43" s="8"/>
      <c r="H43" s="8"/>
      <c r="I43" s="8"/>
    </row>
    <row r="44" spans="1:9" x14ac:dyDescent="0.35">
      <c r="A44" s="10">
        <v>19</v>
      </c>
      <c r="B44" s="24">
        <v>16534.016001479871</v>
      </c>
      <c r="C44" s="24">
        <v>723.98399852012881</v>
      </c>
      <c r="D44" s="8"/>
      <c r="E44" s="8"/>
      <c r="F44" s="8"/>
      <c r="G44" s="8"/>
      <c r="H44" s="8"/>
      <c r="I44" s="8"/>
    </row>
    <row r="45" spans="1:9" x14ac:dyDescent="0.35">
      <c r="A45" s="10">
        <v>20</v>
      </c>
      <c r="B45" s="24">
        <v>16577.072590018888</v>
      </c>
      <c r="C45" s="24">
        <v>-45.07259001888815</v>
      </c>
      <c r="D45" s="8"/>
      <c r="E45" s="8"/>
      <c r="F45" s="8"/>
      <c r="G45" s="8"/>
      <c r="H45" s="8"/>
      <c r="I45" s="8"/>
    </row>
    <row r="46" spans="1:9" x14ac:dyDescent="0.35">
      <c r="A46" s="10">
        <v>21</v>
      </c>
      <c r="B46" s="24">
        <v>16620.309290556921</v>
      </c>
      <c r="C46" s="24">
        <v>658.69070944307896</v>
      </c>
      <c r="D46" s="8"/>
      <c r="E46" s="8"/>
      <c r="F46" s="8"/>
      <c r="G46" s="8"/>
      <c r="H46" s="8"/>
      <c r="I46" s="8"/>
    </row>
    <row r="47" spans="1:9" x14ac:dyDescent="0.35">
      <c r="A47" s="10">
        <v>22</v>
      </c>
      <c r="B47" s="24">
        <v>16663.726103093974</v>
      </c>
      <c r="C47" s="24">
        <v>-166.72610309397351</v>
      </c>
      <c r="D47" s="8"/>
      <c r="E47" s="8"/>
      <c r="F47" s="8"/>
      <c r="G47" s="8"/>
      <c r="H47" s="8"/>
      <c r="I47" s="8"/>
    </row>
    <row r="48" spans="1:9" x14ac:dyDescent="0.35">
      <c r="A48" s="10">
        <v>23</v>
      </c>
      <c r="B48" s="24">
        <v>16707.323027630049</v>
      </c>
      <c r="C48" s="24">
        <v>-165.32302763004918</v>
      </c>
      <c r="D48" s="8"/>
      <c r="E48" s="8"/>
      <c r="F48" s="8"/>
      <c r="G48" s="8"/>
      <c r="H48" s="8"/>
      <c r="I48" s="8"/>
    </row>
    <row r="49" spans="1:9" x14ac:dyDescent="0.35">
      <c r="A49" s="10">
        <v>24</v>
      </c>
      <c r="B49" s="24">
        <v>16751.100064165137</v>
      </c>
      <c r="C49" s="24">
        <v>240.89993583486284</v>
      </c>
      <c r="D49" s="8"/>
      <c r="E49" s="8"/>
      <c r="F49" s="8"/>
      <c r="G49" s="8"/>
      <c r="H49" s="8"/>
      <c r="I49" s="8"/>
    </row>
    <row r="50" spans="1:9" x14ac:dyDescent="0.35">
      <c r="A50" s="10">
        <v>25</v>
      </c>
      <c r="B50" s="24">
        <v>16795.057212699245</v>
      </c>
      <c r="C50" s="24">
        <v>-829.0572126992447</v>
      </c>
      <c r="D50" s="8"/>
      <c r="E50" s="8"/>
      <c r="F50" s="8"/>
      <c r="G50" s="8"/>
      <c r="H50" s="8"/>
      <c r="I50" s="8"/>
    </row>
    <row r="51" spans="1:9" x14ac:dyDescent="0.35">
      <c r="A51" s="10">
        <v>26</v>
      </c>
      <c r="B51" s="24">
        <v>16839.194473232379</v>
      </c>
      <c r="C51" s="24">
        <v>424.8055267676209</v>
      </c>
      <c r="D51" s="8"/>
      <c r="E51" s="8"/>
      <c r="F51" s="8"/>
      <c r="G51" s="8"/>
      <c r="H51" s="8"/>
      <c r="I51" s="8"/>
    </row>
    <row r="52" spans="1:9" x14ac:dyDescent="0.35">
      <c r="A52" s="10">
        <v>27</v>
      </c>
      <c r="B52" s="24">
        <v>16883.511845764526</v>
      </c>
      <c r="C52" s="24">
        <v>-170.51184576452579</v>
      </c>
      <c r="D52" s="8"/>
      <c r="E52" s="8"/>
      <c r="F52" s="8"/>
      <c r="G52" s="8"/>
      <c r="H52" s="8"/>
      <c r="I52" s="8"/>
    </row>
    <row r="53" spans="1:9" x14ac:dyDescent="0.35">
      <c r="A53" s="10">
        <v>28</v>
      </c>
      <c r="B53" s="24">
        <v>16928.009330295688</v>
      </c>
      <c r="C53" s="24">
        <v>1505.9906697043116</v>
      </c>
      <c r="D53" s="8"/>
      <c r="E53" s="8"/>
      <c r="F53" s="8"/>
      <c r="G53" s="8"/>
      <c r="H53" s="8"/>
      <c r="I53" s="8"/>
    </row>
    <row r="54" spans="1:9" x14ac:dyDescent="0.35">
      <c r="A54" s="10">
        <v>29</v>
      </c>
      <c r="B54" s="24">
        <v>16972.686926825878</v>
      </c>
      <c r="C54" s="24">
        <v>476.31307317412211</v>
      </c>
      <c r="D54" s="8"/>
      <c r="E54" s="8"/>
      <c r="F54" s="8"/>
      <c r="G54" s="8"/>
      <c r="H54" s="8"/>
      <c r="I54" s="8"/>
    </row>
    <row r="55" spans="1:9" x14ac:dyDescent="0.35">
      <c r="A55" s="10">
        <v>30</v>
      </c>
      <c r="B55" s="24">
        <v>17017.54463535508</v>
      </c>
      <c r="C55" s="24">
        <v>183.45536464492034</v>
      </c>
      <c r="D55" s="8"/>
      <c r="E55" s="8"/>
      <c r="F55" s="8"/>
      <c r="G55" s="8"/>
      <c r="H55" s="8"/>
      <c r="I55" s="8"/>
    </row>
    <row r="56" spans="1:9" x14ac:dyDescent="0.35">
      <c r="A56" s="10">
        <v>31</v>
      </c>
      <c r="B56" s="24">
        <v>17062.582455883301</v>
      </c>
      <c r="C56" s="24">
        <v>656.41754411669899</v>
      </c>
      <c r="D56" s="8"/>
      <c r="E56" s="8"/>
      <c r="F56" s="8"/>
      <c r="G56" s="8"/>
      <c r="H56" s="8"/>
      <c r="I56" s="8"/>
    </row>
    <row r="57" spans="1:9" x14ac:dyDescent="0.35">
      <c r="A57" s="10">
        <v>32</v>
      </c>
      <c r="B57" s="24">
        <v>17107.800388410546</v>
      </c>
      <c r="C57" s="24">
        <v>35.199611589454435</v>
      </c>
      <c r="D57" s="8"/>
      <c r="E57" s="8"/>
      <c r="F57" s="8"/>
      <c r="G57" s="8"/>
      <c r="H57" s="8"/>
      <c r="I57" s="8"/>
    </row>
    <row r="58" spans="1:9" x14ac:dyDescent="0.35">
      <c r="A58" s="10">
        <v>33</v>
      </c>
      <c r="B58" s="24">
        <v>17153.198432936806</v>
      </c>
      <c r="C58" s="24">
        <v>717.80156706319394</v>
      </c>
      <c r="D58" s="8"/>
      <c r="E58" s="8"/>
      <c r="F58" s="8"/>
      <c r="G58" s="8"/>
      <c r="H58" s="8"/>
      <c r="I58" s="8"/>
    </row>
    <row r="59" spans="1:9" x14ac:dyDescent="0.35">
      <c r="A59" s="10">
        <v>34</v>
      </c>
      <c r="B59" s="24">
        <v>17198.776589462086</v>
      </c>
      <c r="C59" s="24">
        <v>-160.77658946208612</v>
      </c>
      <c r="D59" s="8"/>
      <c r="E59" s="8"/>
      <c r="F59" s="8"/>
      <c r="G59" s="8"/>
      <c r="H59" s="8"/>
      <c r="I59" s="8"/>
    </row>
    <row r="60" spans="1:9" x14ac:dyDescent="0.35">
      <c r="A60" s="10">
        <v>35</v>
      </c>
      <c r="B60" s="24">
        <v>17244.534857986386</v>
      </c>
      <c r="C60" s="24">
        <v>168.46514201361424</v>
      </c>
      <c r="D60" s="8"/>
      <c r="E60" s="8"/>
      <c r="F60" s="8"/>
      <c r="G60" s="8"/>
      <c r="H60" s="8"/>
      <c r="I60" s="8"/>
    </row>
    <row r="61" spans="1:9" x14ac:dyDescent="0.35">
      <c r="A61" s="10">
        <v>36</v>
      </c>
      <c r="B61" s="24">
        <v>17290.473238509705</v>
      </c>
      <c r="C61" s="24">
        <v>-90.47323850970497</v>
      </c>
      <c r="D61" s="8"/>
      <c r="E61" s="8"/>
      <c r="F61" s="8"/>
      <c r="G61" s="8"/>
      <c r="H61" s="8"/>
      <c r="I61" s="8"/>
    </row>
    <row r="62" spans="1:9" x14ac:dyDescent="0.35">
      <c r="A62" s="10">
        <v>37</v>
      </c>
      <c r="B62" s="24">
        <v>17336.59173103204</v>
      </c>
      <c r="C62" s="24">
        <v>-160.59173103204012</v>
      </c>
      <c r="D62" s="8"/>
      <c r="E62" s="8"/>
      <c r="F62" s="8"/>
      <c r="G62" s="8"/>
      <c r="H62" s="8"/>
      <c r="I62" s="8"/>
    </row>
    <row r="63" spans="1:9" x14ac:dyDescent="0.35">
      <c r="A63" s="10">
        <v>38</v>
      </c>
      <c r="B63" s="24">
        <v>17382.890335553398</v>
      </c>
      <c r="C63" s="24">
        <v>636.10966444660153</v>
      </c>
      <c r="D63" s="8"/>
      <c r="E63" s="8"/>
      <c r="F63" s="8"/>
      <c r="G63" s="8"/>
      <c r="H63" s="8"/>
      <c r="I63" s="8"/>
    </row>
    <row r="64" spans="1:9" x14ac:dyDescent="0.35">
      <c r="A64" s="10">
        <v>39</v>
      </c>
      <c r="B64" s="24">
        <v>17429.369052073769</v>
      </c>
      <c r="C64" s="24">
        <v>-454.36905207376913</v>
      </c>
      <c r="D64" s="8"/>
      <c r="E64" s="8"/>
      <c r="F64" s="8"/>
      <c r="G64" s="8"/>
      <c r="H64" s="8"/>
      <c r="I64" s="8"/>
    </row>
    <row r="65" spans="1:9" x14ac:dyDescent="0.35">
      <c r="A65" s="10">
        <v>40</v>
      </c>
      <c r="B65" s="24">
        <v>17476.027880593163</v>
      </c>
      <c r="C65" s="24">
        <v>2176.972119406837</v>
      </c>
      <c r="D65" s="8"/>
      <c r="E65" s="8"/>
      <c r="F65" s="8"/>
      <c r="G65" s="8"/>
      <c r="H65" s="8"/>
      <c r="I65" s="8"/>
    </row>
    <row r="66" spans="1:9" x14ac:dyDescent="0.35">
      <c r="A66" s="10">
        <v>41</v>
      </c>
      <c r="B66" s="24">
        <v>17522.866821111576</v>
      </c>
      <c r="C66" s="24">
        <v>218.13317888842357</v>
      </c>
      <c r="D66" s="8"/>
      <c r="E66" s="8"/>
      <c r="F66" s="8"/>
      <c r="G66" s="8"/>
      <c r="H66" s="8"/>
      <c r="I66" s="8"/>
    </row>
    <row r="67" spans="1:9" x14ac:dyDescent="0.35">
      <c r="A67" s="10">
        <v>42</v>
      </c>
      <c r="B67" s="24">
        <v>17569.885873629006</v>
      </c>
      <c r="C67" s="24">
        <v>-541.8858736290058</v>
      </c>
      <c r="D67" s="8"/>
      <c r="E67" s="8"/>
      <c r="F67" s="8"/>
      <c r="G67" s="8"/>
      <c r="H67" s="8"/>
      <c r="I67" s="8"/>
    </row>
    <row r="68" spans="1:9" x14ac:dyDescent="0.35">
      <c r="A68" s="10">
        <v>43</v>
      </c>
      <c r="B68" s="24">
        <v>17617.085038145455</v>
      </c>
      <c r="C68" s="24">
        <v>883.91496185454525</v>
      </c>
      <c r="D68" s="8"/>
      <c r="E68" s="8"/>
      <c r="F68" s="8"/>
      <c r="G68" s="8"/>
      <c r="H68" s="8"/>
      <c r="I68" s="8"/>
    </row>
    <row r="69" spans="1:9" x14ac:dyDescent="0.35">
      <c r="A69" s="10">
        <v>44</v>
      </c>
      <c r="B69" s="24">
        <v>17664.464314660927</v>
      </c>
      <c r="C69" s="24">
        <v>561.5356853390731</v>
      </c>
      <c r="D69" s="8"/>
      <c r="E69" s="8"/>
      <c r="F69" s="8"/>
      <c r="G69" s="8"/>
      <c r="H69" s="8"/>
      <c r="I69" s="8"/>
    </row>
    <row r="70" spans="1:9" x14ac:dyDescent="0.35">
      <c r="A70" s="10">
        <v>45</v>
      </c>
      <c r="B70" s="24">
        <v>17712.023703175411</v>
      </c>
      <c r="C70" s="24">
        <v>433.97629682458864</v>
      </c>
      <c r="D70" s="8"/>
      <c r="E70" s="8"/>
      <c r="F70" s="8"/>
      <c r="G70" s="8"/>
      <c r="H70" s="8"/>
      <c r="I70" s="8"/>
    </row>
    <row r="71" spans="1:9" x14ac:dyDescent="0.35">
      <c r="A71" s="10">
        <v>46</v>
      </c>
      <c r="B71" s="24">
        <v>17759.763203688919</v>
      </c>
      <c r="C71" s="24">
        <v>184.23679631108098</v>
      </c>
      <c r="D71" s="8"/>
      <c r="E71" s="8"/>
      <c r="F71" s="8"/>
      <c r="G71" s="8"/>
      <c r="H71" s="8"/>
      <c r="I71" s="8"/>
    </row>
    <row r="72" spans="1:9" x14ac:dyDescent="0.35">
      <c r="A72" s="10">
        <v>47</v>
      </c>
      <c r="B72" s="24">
        <v>17807.682816201446</v>
      </c>
      <c r="C72" s="24">
        <v>149.31718379855374</v>
      </c>
      <c r="D72" s="8"/>
      <c r="E72" s="8"/>
      <c r="F72" s="8"/>
      <c r="G72" s="8"/>
      <c r="H72" s="8"/>
      <c r="I72" s="8"/>
    </row>
    <row r="73" spans="1:9" x14ac:dyDescent="0.35">
      <c r="A73" s="10">
        <v>48</v>
      </c>
      <c r="B73" s="24">
        <v>17855.782540712989</v>
      </c>
      <c r="C73" s="24">
        <v>-251.78254071298943</v>
      </c>
      <c r="D73" s="8"/>
      <c r="E73" s="8"/>
      <c r="F73" s="8"/>
      <c r="G73" s="8"/>
      <c r="H73" s="8"/>
      <c r="I73" s="8"/>
    </row>
    <row r="74" spans="1:9" x14ac:dyDescent="0.35">
      <c r="A74" s="10">
        <v>49</v>
      </c>
      <c r="B74" s="24">
        <v>17904.062377223549</v>
      </c>
      <c r="C74" s="24">
        <v>-134.06237722354854</v>
      </c>
      <c r="D74" s="8"/>
      <c r="E74" s="8"/>
      <c r="F74" s="8"/>
      <c r="G74" s="8"/>
      <c r="H74" s="8"/>
      <c r="I74" s="8"/>
    </row>
    <row r="75" spans="1:9" x14ac:dyDescent="0.35">
      <c r="A75" s="10">
        <v>50</v>
      </c>
      <c r="B75" s="24">
        <v>17952.522325733134</v>
      </c>
      <c r="C75" s="24">
        <v>539.47767426686551</v>
      </c>
      <c r="D75" s="8"/>
      <c r="E75" s="8"/>
      <c r="F75" s="8"/>
      <c r="G75" s="8"/>
      <c r="H75" s="8"/>
      <c r="I75" s="8"/>
    </row>
    <row r="76" spans="1:9" x14ac:dyDescent="0.35">
      <c r="A76" s="10">
        <v>51</v>
      </c>
      <c r="B76" s="24">
        <v>18001.162386241733</v>
      </c>
      <c r="C76" s="24">
        <v>-217.16238624173275</v>
      </c>
      <c r="D76" s="8"/>
      <c r="E76" s="8"/>
      <c r="F76" s="8"/>
      <c r="G76" s="8"/>
      <c r="H76" s="8"/>
      <c r="I76" s="8"/>
    </row>
    <row r="77" spans="1:9" x14ac:dyDescent="0.35">
      <c r="A77" s="10">
        <v>52</v>
      </c>
      <c r="B77" s="24">
        <v>18049.982558749358</v>
      </c>
      <c r="C77" s="24">
        <v>2017.0174412506422</v>
      </c>
      <c r="D77" s="8"/>
      <c r="E77" s="8"/>
      <c r="F77" s="8"/>
      <c r="G77" s="8"/>
      <c r="H77" s="8"/>
      <c r="I77" s="8"/>
    </row>
    <row r="78" spans="1:9" x14ac:dyDescent="0.35">
      <c r="A78" s="10">
        <v>53</v>
      </c>
      <c r="B78" s="24">
        <v>18098.982843255995</v>
      </c>
      <c r="C78" s="24">
        <v>-224.98284325599525</v>
      </c>
      <c r="D78" s="8"/>
      <c r="E78" s="8"/>
      <c r="F78" s="8"/>
      <c r="G78" s="8"/>
      <c r="H78" s="8"/>
      <c r="I78" s="8"/>
    </row>
    <row r="79" spans="1:9" x14ac:dyDescent="0.35">
      <c r="A79" s="10">
        <v>54</v>
      </c>
      <c r="B79" s="24">
        <v>18148.163239761649</v>
      </c>
      <c r="C79" s="24">
        <v>-977.16323976164858</v>
      </c>
      <c r="D79" s="8"/>
      <c r="E79" s="8"/>
      <c r="F79" s="8"/>
      <c r="G79" s="8"/>
      <c r="H79" s="8"/>
      <c r="I79" s="8"/>
    </row>
    <row r="80" spans="1:9" x14ac:dyDescent="0.35">
      <c r="A80" s="10">
        <v>55</v>
      </c>
      <c r="B80" s="24">
        <v>18197.523748266325</v>
      </c>
      <c r="C80" s="24">
        <v>1016.4762517336749</v>
      </c>
      <c r="D80" s="8"/>
      <c r="E80" s="8"/>
      <c r="F80" s="8"/>
      <c r="G80" s="8"/>
      <c r="H80" s="8"/>
      <c r="I80" s="8"/>
    </row>
    <row r="81" spans="1:9" x14ac:dyDescent="0.35">
      <c r="A81" s="10">
        <v>56</v>
      </c>
      <c r="B81" s="24">
        <v>18247.064368770021</v>
      </c>
      <c r="C81" s="24">
        <v>92.935631229978753</v>
      </c>
      <c r="D81" s="8"/>
      <c r="E81" s="8"/>
      <c r="F81" s="8"/>
      <c r="G81" s="8"/>
      <c r="H81" s="8"/>
      <c r="I81" s="8"/>
    </row>
    <row r="82" spans="1:9" x14ac:dyDescent="0.35">
      <c r="A82" s="10">
        <v>57</v>
      </c>
      <c r="B82" s="24">
        <v>18296.785101272737</v>
      </c>
      <c r="C82" s="24">
        <v>-1.785101272736938</v>
      </c>
      <c r="D82" s="8"/>
      <c r="E82" s="8"/>
      <c r="F82" s="8"/>
      <c r="G82" s="8"/>
      <c r="H82" s="8"/>
      <c r="I82" s="8"/>
    </row>
    <row r="83" spans="1:9" x14ac:dyDescent="0.35">
      <c r="A83" s="10">
        <v>58</v>
      </c>
      <c r="B83" s="24">
        <v>18346.685945774472</v>
      </c>
      <c r="C83" s="24">
        <v>25.314054225527798</v>
      </c>
      <c r="D83" s="8"/>
      <c r="E83" s="8"/>
      <c r="F83" s="8"/>
      <c r="G83" s="8"/>
      <c r="H83" s="8"/>
      <c r="I83" s="8"/>
    </row>
    <row r="84" spans="1:9" x14ac:dyDescent="0.35">
      <c r="A84" s="10">
        <v>59</v>
      </c>
      <c r="B84" s="24">
        <v>18396.766902275223</v>
      </c>
      <c r="C84" s="24">
        <v>-226.7669022752234</v>
      </c>
      <c r="D84" s="8"/>
      <c r="E84" s="8"/>
      <c r="F84" s="8"/>
      <c r="G84" s="8"/>
      <c r="H84" s="8"/>
      <c r="I84" s="8"/>
    </row>
    <row r="85" spans="1:9" x14ac:dyDescent="0.35">
      <c r="A85" s="10">
        <v>60</v>
      </c>
      <c r="B85" s="24">
        <v>18447.027970774991</v>
      </c>
      <c r="C85" s="24">
        <v>-119.02797077499054</v>
      </c>
      <c r="D85" s="8"/>
      <c r="E85" s="8"/>
      <c r="F85" s="8"/>
      <c r="G85" s="8"/>
      <c r="H85" s="8"/>
      <c r="I85" s="8"/>
    </row>
    <row r="86" spans="1:9" x14ac:dyDescent="0.35">
      <c r="A86" s="10">
        <v>61</v>
      </c>
      <c r="B86" s="24">
        <v>18497.469151273781</v>
      </c>
      <c r="C86" s="24">
        <v>-373.46915127378088</v>
      </c>
      <c r="D86" s="8"/>
      <c r="E86" s="8"/>
      <c r="F86" s="8"/>
      <c r="G86" s="8"/>
      <c r="H86" s="8"/>
      <c r="I86" s="8"/>
    </row>
    <row r="87" spans="1:9" x14ac:dyDescent="0.35">
      <c r="A87" s="10">
        <v>62</v>
      </c>
      <c r="B87" s="24">
        <v>18548.090443771591</v>
      </c>
      <c r="C87" s="24">
        <v>62.909556228409201</v>
      </c>
      <c r="D87" s="8"/>
      <c r="E87" s="8"/>
      <c r="F87" s="8"/>
      <c r="G87" s="8"/>
      <c r="H87" s="8"/>
      <c r="I87" s="8"/>
    </row>
    <row r="88" spans="1:9" x14ac:dyDescent="0.35">
      <c r="A88" s="10">
        <v>63</v>
      </c>
      <c r="B88" s="24">
        <v>18598.891848268417</v>
      </c>
      <c r="C88" s="24">
        <v>125.10815173158335</v>
      </c>
      <c r="D88" s="8"/>
      <c r="E88" s="8"/>
      <c r="F88" s="8"/>
      <c r="G88" s="8"/>
      <c r="H88" s="8"/>
      <c r="I88" s="8"/>
    </row>
    <row r="89" spans="1:9" x14ac:dyDescent="0.35">
      <c r="A89" s="10">
        <v>64</v>
      </c>
      <c r="B89" s="24">
        <v>18649.873364764266</v>
      </c>
      <c r="C89" s="24">
        <v>2357.1266352357343</v>
      </c>
      <c r="D89" s="8"/>
      <c r="E89" s="8"/>
      <c r="F89" s="8"/>
      <c r="G89" s="8"/>
      <c r="H89" s="8"/>
      <c r="I89" s="8"/>
    </row>
    <row r="90" spans="1:9" x14ac:dyDescent="0.35">
      <c r="A90" s="10">
        <v>65</v>
      </c>
      <c r="B90" s="24">
        <v>18701.034993259131</v>
      </c>
      <c r="C90" s="24">
        <v>453.96500674086928</v>
      </c>
      <c r="D90" s="8"/>
      <c r="E90" s="8"/>
      <c r="F90" s="8"/>
      <c r="G90" s="8"/>
      <c r="H90" s="8"/>
      <c r="I90" s="8"/>
    </row>
    <row r="91" spans="1:9" x14ac:dyDescent="0.35">
      <c r="A91" s="10">
        <v>66</v>
      </c>
      <c r="B91" s="24">
        <v>18752.376733753012</v>
      </c>
      <c r="C91" s="24">
        <v>-635.37673375301165</v>
      </c>
      <c r="D91" s="8"/>
      <c r="E91" s="8"/>
      <c r="F91" s="8"/>
      <c r="G91" s="8"/>
      <c r="H91" s="8"/>
      <c r="I91" s="8"/>
    </row>
    <row r="92" spans="1:9" x14ac:dyDescent="0.35">
      <c r="A92" s="10">
        <v>67</v>
      </c>
      <c r="B92" s="24">
        <v>18803.898586245916</v>
      </c>
      <c r="C92" s="24">
        <v>1238.1014137540842</v>
      </c>
      <c r="D92" s="8"/>
      <c r="E92" s="8"/>
      <c r="F92" s="8"/>
      <c r="G92" s="8"/>
      <c r="H92" s="8"/>
      <c r="I92" s="8"/>
    </row>
    <row r="93" spans="1:9" x14ac:dyDescent="0.35">
      <c r="A93" s="10">
        <v>68</v>
      </c>
      <c r="B93" s="24">
        <v>18855.60055073784</v>
      </c>
      <c r="C93" s="24">
        <v>88.399449262160488</v>
      </c>
      <c r="D93" s="8"/>
      <c r="E93" s="8"/>
      <c r="F93" s="8"/>
      <c r="G93" s="8"/>
      <c r="H93" s="8"/>
      <c r="I93" s="8"/>
    </row>
    <row r="94" spans="1:9" x14ac:dyDescent="0.35">
      <c r="A94" s="10">
        <v>69</v>
      </c>
      <c r="B94" s="24">
        <v>18907.482627228779</v>
      </c>
      <c r="C94" s="24">
        <v>597.51737277122083</v>
      </c>
      <c r="D94" s="8"/>
      <c r="E94" s="8"/>
      <c r="F94" s="8"/>
      <c r="G94" s="8"/>
      <c r="H94" s="8"/>
      <c r="I94" s="8"/>
    </row>
    <row r="95" spans="1:9" x14ac:dyDescent="0.35">
      <c r="A95" s="10">
        <v>70</v>
      </c>
      <c r="B95" s="24">
        <v>18959.544815718738</v>
      </c>
      <c r="C95" s="24">
        <v>121.45518428126161</v>
      </c>
      <c r="D95" s="8"/>
      <c r="E95" s="8"/>
      <c r="F95" s="8"/>
      <c r="G95" s="8"/>
      <c r="H95" s="8"/>
      <c r="I95" s="8"/>
    </row>
    <row r="96" spans="1:9" x14ac:dyDescent="0.35">
      <c r="A96" s="10">
        <v>71</v>
      </c>
      <c r="B96" s="24">
        <v>19011.787116207717</v>
      </c>
      <c r="C96" s="24">
        <v>-470.78711620771719</v>
      </c>
      <c r="D96" s="8"/>
      <c r="E96" s="8"/>
      <c r="F96" s="8"/>
      <c r="G96" s="8"/>
      <c r="H96" s="8"/>
      <c r="I96" s="8"/>
    </row>
    <row r="97" spans="1:9" x14ac:dyDescent="0.35">
      <c r="A97" s="10">
        <v>72</v>
      </c>
      <c r="B97" s="24">
        <v>19064.209528695712</v>
      </c>
      <c r="C97" s="24">
        <v>416.79047130428808</v>
      </c>
      <c r="D97" s="8"/>
      <c r="E97" s="8"/>
      <c r="F97" s="8"/>
      <c r="G97" s="8"/>
      <c r="H97" s="8"/>
      <c r="I97" s="8"/>
    </row>
    <row r="98" spans="1:9" x14ac:dyDescent="0.35">
      <c r="A98" s="10">
        <v>73</v>
      </c>
      <c r="B98" s="24">
        <v>19116.81205318273</v>
      </c>
      <c r="C98" s="24">
        <v>-271.81205318272987</v>
      </c>
      <c r="D98" s="8"/>
      <c r="E98" s="8"/>
      <c r="F98" s="8"/>
      <c r="G98" s="8"/>
      <c r="H98" s="8"/>
      <c r="I98" s="8"/>
    </row>
    <row r="99" spans="1:9" x14ac:dyDescent="0.35">
      <c r="A99" s="10">
        <v>74</v>
      </c>
      <c r="B99" s="24">
        <v>19169.594689668767</v>
      </c>
      <c r="C99" s="24">
        <v>132.40531033123261</v>
      </c>
      <c r="D99" s="8"/>
      <c r="E99" s="8"/>
      <c r="F99" s="8"/>
      <c r="G99" s="8"/>
      <c r="H99" s="8"/>
      <c r="I99" s="8"/>
    </row>
    <row r="100" spans="1:9" x14ac:dyDescent="0.35">
      <c r="A100" s="10">
        <v>75</v>
      </c>
      <c r="B100" s="24">
        <v>19222.557438153817</v>
      </c>
      <c r="C100" s="24">
        <v>-119.5574381538172</v>
      </c>
      <c r="D100" s="8"/>
      <c r="E100" s="8"/>
      <c r="F100" s="8"/>
      <c r="G100" s="8"/>
      <c r="H100" s="8"/>
      <c r="I100" s="8"/>
    </row>
    <row r="101" spans="1:9" x14ac:dyDescent="0.35">
      <c r="A101" s="10">
        <v>76</v>
      </c>
      <c r="B101" s="24">
        <v>19275.700298637894</v>
      </c>
      <c r="C101" s="24">
        <v>1857.2997013621061</v>
      </c>
      <c r="D101" s="8"/>
      <c r="E101" s="8"/>
      <c r="F101" s="8"/>
      <c r="G101" s="8"/>
      <c r="H101" s="8"/>
      <c r="I101" s="8"/>
    </row>
    <row r="102" spans="1:9" x14ac:dyDescent="0.35">
      <c r="A102" s="10">
        <v>77</v>
      </c>
      <c r="B102" s="24">
        <v>19329.023271120983</v>
      </c>
      <c r="C102" s="24">
        <v>71.976728879017173</v>
      </c>
      <c r="D102" s="8"/>
      <c r="E102" s="8"/>
      <c r="F102" s="8"/>
      <c r="G102" s="8"/>
      <c r="H102" s="8"/>
      <c r="I102" s="8"/>
    </row>
    <row r="103" spans="1:9" x14ac:dyDescent="0.35">
      <c r="A103" s="10">
        <v>78</v>
      </c>
      <c r="B103" s="24">
        <v>19382.526355603095</v>
      </c>
      <c r="C103" s="24">
        <v>-326.526355603095</v>
      </c>
      <c r="D103" s="8"/>
      <c r="E103" s="8"/>
      <c r="F103" s="8"/>
      <c r="G103" s="8"/>
      <c r="H103" s="8"/>
      <c r="I103" s="8"/>
    </row>
    <row r="104" spans="1:9" x14ac:dyDescent="0.35">
      <c r="A104" s="10">
        <v>79</v>
      </c>
      <c r="B104" s="24">
        <v>19436.209552084223</v>
      </c>
      <c r="C104" s="24">
        <v>506.79044791577689</v>
      </c>
      <c r="D104" s="8"/>
      <c r="E104" s="8"/>
      <c r="F104" s="8"/>
      <c r="G104" s="8"/>
      <c r="H104" s="8"/>
      <c r="I104" s="8"/>
    </row>
    <row r="105" spans="1:9" x14ac:dyDescent="0.35">
      <c r="A105" s="10">
        <v>80</v>
      </c>
      <c r="B105" s="24">
        <v>19490.072860564374</v>
      </c>
      <c r="C105" s="24">
        <v>-440.07286056437442</v>
      </c>
      <c r="D105" s="8"/>
      <c r="E105" s="8"/>
      <c r="F105" s="8"/>
      <c r="G105" s="8"/>
      <c r="H105" s="8"/>
      <c r="I105" s="8"/>
    </row>
    <row r="106" spans="1:9" x14ac:dyDescent="0.35">
      <c r="A106" s="10">
        <v>81</v>
      </c>
      <c r="B106" s="24">
        <v>19544.116281043538</v>
      </c>
      <c r="C106" s="24">
        <v>156.88371895646196</v>
      </c>
      <c r="D106" s="8"/>
      <c r="E106" s="8"/>
      <c r="F106" s="8"/>
      <c r="G106" s="8"/>
      <c r="H106" s="8"/>
      <c r="I106" s="8"/>
    </row>
    <row r="107" spans="1:9" x14ac:dyDescent="0.35">
      <c r="A107" s="10">
        <v>82</v>
      </c>
      <c r="B107" s="24">
        <v>19598.339813521729</v>
      </c>
      <c r="C107" s="24">
        <v>-1172.3398135217285</v>
      </c>
      <c r="D107" s="8"/>
      <c r="E107" s="8"/>
      <c r="F107" s="8"/>
      <c r="G107" s="8"/>
      <c r="H107" s="8"/>
      <c r="I107" s="8"/>
    </row>
    <row r="108" spans="1:9" x14ac:dyDescent="0.35">
      <c r="A108" s="10">
        <v>83</v>
      </c>
      <c r="B108" s="24">
        <v>19652.743457998931</v>
      </c>
      <c r="C108" s="24">
        <v>-1093.7434579989313</v>
      </c>
      <c r="D108" s="8"/>
      <c r="E108" s="8"/>
      <c r="F108" s="8"/>
      <c r="G108" s="8"/>
      <c r="H108" s="8"/>
      <c r="I108" s="8"/>
    </row>
    <row r="109" spans="1:9" x14ac:dyDescent="0.35">
      <c r="A109" s="10">
        <v>84</v>
      </c>
      <c r="B109" s="24">
        <v>19707.327214475154</v>
      </c>
      <c r="C109" s="24">
        <v>-539.3272144751536</v>
      </c>
      <c r="D109" s="8"/>
      <c r="E109" s="8"/>
      <c r="F109" s="8"/>
      <c r="G109" s="8"/>
      <c r="H109" s="8"/>
      <c r="I109" s="8"/>
    </row>
    <row r="110" spans="1:9" x14ac:dyDescent="0.35">
      <c r="A110" s="10">
        <v>85</v>
      </c>
      <c r="B110" s="24">
        <v>19762.091082950396</v>
      </c>
      <c r="C110" s="24">
        <v>-1915.0910829503955</v>
      </c>
      <c r="D110" s="8"/>
      <c r="E110" s="8"/>
      <c r="F110" s="8"/>
      <c r="G110" s="8"/>
      <c r="H110" s="8"/>
      <c r="I110" s="8"/>
    </row>
    <row r="111" spans="1:9" x14ac:dyDescent="0.35">
      <c r="A111" s="10">
        <v>86</v>
      </c>
      <c r="B111" s="24">
        <v>19817.035063424661</v>
      </c>
      <c r="C111" s="24">
        <v>-349.03506342466062</v>
      </c>
      <c r="D111" s="8"/>
      <c r="E111" s="8"/>
      <c r="F111" s="8"/>
      <c r="G111" s="8"/>
      <c r="H111" s="8"/>
      <c r="I111" s="8"/>
    </row>
    <row r="112" spans="1:9" x14ac:dyDescent="0.35">
      <c r="A112" s="10">
        <v>87</v>
      </c>
      <c r="B112" s="24">
        <v>19872.159155897938</v>
      </c>
      <c r="C112" s="24">
        <v>-1172.159155897938</v>
      </c>
      <c r="D112" s="8"/>
      <c r="E112" s="8"/>
      <c r="F112" s="8"/>
      <c r="G112" s="8"/>
      <c r="H112" s="8"/>
      <c r="I112" s="8"/>
    </row>
    <row r="113" spans="1:9" x14ac:dyDescent="0.35">
      <c r="A113" s="10">
        <v>88</v>
      </c>
      <c r="B113" s="24">
        <v>19927.463360370242</v>
      </c>
      <c r="C113" s="24">
        <v>704.5366396297577</v>
      </c>
      <c r="D113" s="8"/>
      <c r="E113" s="8"/>
      <c r="F113" s="8"/>
      <c r="G113" s="8"/>
      <c r="H113" s="8"/>
      <c r="I113" s="8"/>
    </row>
    <row r="114" spans="1:9" x14ac:dyDescent="0.35">
      <c r="A114" s="10">
        <v>89</v>
      </c>
      <c r="B114" s="24">
        <v>19982.947676841559</v>
      </c>
      <c r="C114" s="24">
        <v>-156.94767684155886</v>
      </c>
      <c r="D114" s="8"/>
      <c r="E114" s="8"/>
      <c r="F114" s="8"/>
      <c r="G114" s="8"/>
      <c r="H114" s="8"/>
      <c r="I114" s="8"/>
    </row>
    <row r="115" spans="1:9" x14ac:dyDescent="0.35">
      <c r="A115" s="10">
        <v>90</v>
      </c>
      <c r="B115" s="24">
        <v>20038.612105311895</v>
      </c>
      <c r="C115" s="24">
        <v>-1817.612105311895</v>
      </c>
      <c r="D115" s="8"/>
      <c r="E115" s="8"/>
      <c r="F115" s="8"/>
      <c r="G115" s="8"/>
      <c r="H115" s="8"/>
      <c r="I115" s="8"/>
    </row>
    <row r="116" spans="1:9" x14ac:dyDescent="0.35">
      <c r="A116" s="10">
        <v>91</v>
      </c>
      <c r="B116" s="24">
        <v>20094.456645781254</v>
      </c>
      <c r="C116" s="24">
        <v>-469.45664578125434</v>
      </c>
      <c r="D116" s="8"/>
      <c r="E116" s="8"/>
      <c r="F116" s="8"/>
      <c r="G116" s="8"/>
      <c r="H116" s="8"/>
      <c r="I116" s="8"/>
    </row>
    <row r="117" spans="1:9" x14ac:dyDescent="0.35">
      <c r="A117" s="10">
        <v>92</v>
      </c>
      <c r="B117" s="24">
        <v>20150.481298249626</v>
      </c>
      <c r="C117" s="24">
        <v>-982.48129824962598</v>
      </c>
      <c r="D117" s="8"/>
      <c r="E117" s="8"/>
      <c r="F117" s="8"/>
      <c r="G117" s="8"/>
      <c r="H117" s="8"/>
      <c r="I117" s="8"/>
    </row>
    <row r="118" spans="1:9" x14ac:dyDescent="0.35">
      <c r="A118" s="10">
        <v>93</v>
      </c>
      <c r="B118" s="24">
        <v>20206.686062717017</v>
      </c>
      <c r="C118" s="24">
        <v>-400.68606271701719</v>
      </c>
      <c r="D118" s="8"/>
      <c r="E118" s="8"/>
      <c r="F118" s="8"/>
      <c r="G118" s="8"/>
      <c r="H118" s="8"/>
      <c r="I118" s="8"/>
    </row>
    <row r="119" spans="1:9" x14ac:dyDescent="0.35">
      <c r="A119" s="10">
        <v>94</v>
      </c>
      <c r="B119" s="24">
        <v>20263.070939183435</v>
      </c>
      <c r="C119" s="24">
        <v>-1716.0709391834353</v>
      </c>
      <c r="D119" s="8"/>
      <c r="E119" s="8"/>
      <c r="F119" s="8"/>
      <c r="G119" s="8"/>
      <c r="H119" s="8"/>
      <c r="I119" s="8"/>
    </row>
    <row r="120" spans="1:9" x14ac:dyDescent="0.35">
      <c r="A120" s="10">
        <v>95</v>
      </c>
      <c r="B120" s="24">
        <v>20319.635927648866</v>
      </c>
      <c r="C120" s="24">
        <v>-849.63592764886562</v>
      </c>
      <c r="D120" s="8"/>
      <c r="E120" s="8"/>
      <c r="F120" s="8"/>
      <c r="G120" s="8"/>
      <c r="H120" s="8"/>
      <c r="I120" s="8"/>
    </row>
    <row r="121" spans="1:9" x14ac:dyDescent="0.35">
      <c r="A121" s="10">
        <v>96</v>
      </c>
      <c r="B121" s="24">
        <v>20376.381028113312</v>
      </c>
      <c r="C121" s="24">
        <v>-814.38102811331191</v>
      </c>
      <c r="D121" s="8"/>
      <c r="E121" s="8"/>
      <c r="F121" s="8"/>
      <c r="G121" s="8"/>
      <c r="H121" s="8"/>
      <c r="I121" s="8"/>
    </row>
    <row r="122" spans="1:9" x14ac:dyDescent="0.35">
      <c r="A122" s="10">
        <v>97</v>
      </c>
      <c r="B122" s="24">
        <v>20433.306240576785</v>
      </c>
      <c r="C122" s="24">
        <v>-1216.3062405767851</v>
      </c>
      <c r="D122" s="8"/>
      <c r="E122" s="8"/>
      <c r="F122" s="8"/>
      <c r="G122" s="8"/>
      <c r="H122" s="8"/>
      <c r="I122" s="8"/>
    </row>
    <row r="123" spans="1:9" x14ac:dyDescent="0.35">
      <c r="A123" s="10">
        <v>98</v>
      </c>
      <c r="B123" s="24">
        <v>20490.411565039274</v>
      </c>
      <c r="C123" s="24">
        <v>-12.411565039274137</v>
      </c>
      <c r="D123" s="8"/>
      <c r="E123" s="8"/>
      <c r="F123" s="8"/>
      <c r="G123" s="8"/>
      <c r="H123" s="8"/>
      <c r="I123" s="8"/>
    </row>
    <row r="124" spans="1:9" x14ac:dyDescent="0.35">
      <c r="A124" s="10">
        <v>99</v>
      </c>
      <c r="B124" s="24">
        <v>20547.697001500779</v>
      </c>
      <c r="C124" s="24">
        <v>-993.69700150077915</v>
      </c>
      <c r="D124" s="8"/>
      <c r="E124" s="8"/>
      <c r="F124" s="8"/>
      <c r="G124" s="8"/>
      <c r="H124" s="8"/>
      <c r="I124" s="8"/>
    </row>
    <row r="125" spans="1:9" x14ac:dyDescent="0.35">
      <c r="A125" s="10">
        <v>100</v>
      </c>
      <c r="B125" s="24">
        <v>20605.162549961307</v>
      </c>
      <c r="C125" s="24">
        <v>1468.8374500386926</v>
      </c>
      <c r="D125" s="8"/>
      <c r="E125" s="8"/>
      <c r="F125" s="8"/>
      <c r="G125" s="8"/>
      <c r="H125" s="8"/>
      <c r="I125" s="8"/>
    </row>
    <row r="126" spans="1:9" x14ac:dyDescent="0.35">
      <c r="A126" s="10">
        <v>101</v>
      </c>
      <c r="B126" s="24">
        <v>20662.808210420852</v>
      </c>
      <c r="C126" s="24">
        <v>-28.808210420851537</v>
      </c>
      <c r="D126" s="8"/>
      <c r="E126" s="8"/>
      <c r="F126" s="8"/>
      <c r="G126" s="8"/>
      <c r="H126" s="8"/>
      <c r="I126" s="8"/>
    </row>
    <row r="127" spans="1:9" x14ac:dyDescent="0.35">
      <c r="A127" s="10">
        <v>102</v>
      </c>
      <c r="B127" s="24">
        <v>20720.633982879412</v>
      </c>
      <c r="C127" s="24">
        <v>-1580.6339828794116</v>
      </c>
      <c r="D127" s="8"/>
      <c r="E127" s="8"/>
      <c r="F127" s="8"/>
      <c r="G127" s="8"/>
      <c r="H127" s="8"/>
      <c r="I127" s="8"/>
    </row>
    <row r="128" spans="1:9" x14ac:dyDescent="0.35">
      <c r="A128" s="10">
        <v>103</v>
      </c>
      <c r="B128" s="24">
        <v>20778.639867336999</v>
      </c>
      <c r="C128" s="24">
        <v>-290.63986733699858</v>
      </c>
      <c r="D128" s="8"/>
      <c r="E128" s="8"/>
      <c r="F128" s="8"/>
      <c r="G128" s="8"/>
      <c r="H128" s="8"/>
      <c r="I128" s="8"/>
    </row>
    <row r="129" spans="1:9" x14ac:dyDescent="0.35">
      <c r="A129" s="10">
        <v>104</v>
      </c>
      <c r="B129" s="24">
        <v>20836.825863793598</v>
      </c>
      <c r="C129" s="24">
        <v>-215.82586379359782</v>
      </c>
      <c r="D129" s="8"/>
      <c r="E129" s="8"/>
      <c r="F129" s="8"/>
      <c r="G129" s="8"/>
      <c r="H129" s="8"/>
      <c r="I129" s="8"/>
    </row>
    <row r="130" spans="1:9" x14ac:dyDescent="0.35">
      <c r="A130" s="10">
        <v>105</v>
      </c>
      <c r="B130" s="24">
        <v>20895.191972249217</v>
      </c>
      <c r="C130" s="24">
        <v>173.80802775078337</v>
      </c>
      <c r="D130" s="8"/>
      <c r="E130" s="8"/>
      <c r="F130" s="8"/>
      <c r="G130" s="8"/>
      <c r="H130" s="8"/>
      <c r="I130" s="8"/>
    </row>
    <row r="131" spans="1:9" x14ac:dyDescent="0.35">
      <c r="A131" s="10">
        <v>106</v>
      </c>
      <c r="B131" s="24">
        <v>20953.738192703859</v>
      </c>
      <c r="C131" s="24">
        <v>-532.73819270385866</v>
      </c>
      <c r="D131" s="8"/>
      <c r="E131" s="8"/>
      <c r="F131" s="8"/>
      <c r="G131" s="8"/>
      <c r="H131" s="8"/>
      <c r="I131" s="8"/>
    </row>
    <row r="132" spans="1:9" x14ac:dyDescent="0.35">
      <c r="A132" s="10">
        <v>107</v>
      </c>
      <c r="B132" s="24">
        <v>21012.464525157517</v>
      </c>
      <c r="C132" s="24">
        <v>-102.46452515751662</v>
      </c>
      <c r="D132" s="8"/>
      <c r="E132" s="8"/>
      <c r="F132" s="8"/>
      <c r="G132" s="8"/>
      <c r="H132" s="8"/>
      <c r="I132" s="8"/>
    </row>
    <row r="133" spans="1:9" x14ac:dyDescent="0.35">
      <c r="A133" s="10">
        <v>108</v>
      </c>
      <c r="B133" s="24">
        <v>21071.370969610191</v>
      </c>
      <c r="C133" s="24">
        <v>-440.37096961019051</v>
      </c>
      <c r="D133" s="8"/>
      <c r="E133" s="8"/>
      <c r="F133" s="8"/>
      <c r="G133" s="8"/>
      <c r="H133" s="8"/>
      <c r="I133" s="8"/>
    </row>
    <row r="134" spans="1:9" x14ac:dyDescent="0.35">
      <c r="A134" s="10">
        <v>109</v>
      </c>
      <c r="B134" s="24">
        <v>21130.457526061888</v>
      </c>
      <c r="C134" s="24">
        <v>-431.45752606188762</v>
      </c>
      <c r="D134" s="8"/>
      <c r="E134" s="8"/>
      <c r="F134" s="8"/>
      <c r="G134" s="8"/>
      <c r="H134" s="8"/>
      <c r="I134" s="8"/>
    </row>
    <row r="135" spans="1:9" x14ac:dyDescent="0.35">
      <c r="A135" s="10">
        <v>110</v>
      </c>
      <c r="B135" s="24">
        <v>21189.724194512604</v>
      </c>
      <c r="C135" s="24">
        <v>486.2758054873957</v>
      </c>
      <c r="D135" s="8"/>
      <c r="E135" s="8"/>
      <c r="F135" s="8"/>
      <c r="G135" s="8"/>
      <c r="H135" s="8"/>
      <c r="I135" s="8"/>
    </row>
    <row r="136" spans="1:9" x14ac:dyDescent="0.35">
      <c r="A136" s="10">
        <v>111</v>
      </c>
      <c r="B136" s="24">
        <v>21249.170974962337</v>
      </c>
      <c r="C136" s="24">
        <v>-1038.1709749623369</v>
      </c>
      <c r="D136" s="8"/>
      <c r="E136" s="8"/>
      <c r="F136" s="8"/>
      <c r="G136" s="8"/>
      <c r="H136" s="8"/>
      <c r="I136" s="8"/>
    </row>
    <row r="137" spans="1:9" x14ac:dyDescent="0.35">
      <c r="A137" s="10">
        <v>112</v>
      </c>
      <c r="B137" s="24">
        <v>21308.797867411093</v>
      </c>
      <c r="C137" s="24">
        <v>2737.2021325889073</v>
      </c>
      <c r="D137" s="8"/>
      <c r="E137" s="8"/>
      <c r="F137" s="8"/>
      <c r="G137" s="8"/>
      <c r="H137" s="8"/>
      <c r="I137" s="8"/>
    </row>
    <row r="138" spans="1:9" x14ac:dyDescent="0.35">
      <c r="A138" s="10">
        <v>113</v>
      </c>
      <c r="B138" s="24">
        <v>21368.604871858861</v>
      </c>
      <c r="C138" s="24">
        <v>344.39512814113914</v>
      </c>
      <c r="D138" s="8"/>
      <c r="E138" s="8"/>
      <c r="F138" s="8"/>
      <c r="G138" s="8"/>
      <c r="H138" s="8"/>
      <c r="I138" s="8"/>
    </row>
    <row r="139" spans="1:9" x14ac:dyDescent="0.35">
      <c r="A139" s="10">
        <v>114</v>
      </c>
      <c r="B139" s="24">
        <v>21428.591988305652</v>
      </c>
      <c r="C139" s="24">
        <v>-1343.5919883056522</v>
      </c>
      <c r="D139" s="8"/>
      <c r="E139" s="8"/>
      <c r="F139" s="8"/>
      <c r="G139" s="8"/>
      <c r="H139" s="8"/>
      <c r="I139" s="8"/>
    </row>
    <row r="140" spans="1:9" x14ac:dyDescent="0.35">
      <c r="A140" s="10">
        <v>115</v>
      </c>
      <c r="B140" s="24">
        <v>21488.759216751463</v>
      </c>
      <c r="C140" s="24">
        <v>877.2407832485369</v>
      </c>
      <c r="D140" s="8"/>
      <c r="E140" s="8"/>
      <c r="F140" s="8"/>
      <c r="G140" s="8"/>
      <c r="H140" s="8"/>
      <c r="I140" s="8"/>
    </row>
    <row r="141" spans="1:9" x14ac:dyDescent="0.35">
      <c r="A141" s="10">
        <v>116</v>
      </c>
      <c r="B141" s="24">
        <v>21549.10655719629</v>
      </c>
      <c r="C141" s="24">
        <v>1.8934428037100588</v>
      </c>
      <c r="D141" s="8"/>
      <c r="E141" s="8"/>
      <c r="F141" s="8"/>
      <c r="G141" s="8"/>
      <c r="H141" s="8"/>
      <c r="I141" s="8"/>
    </row>
    <row r="142" spans="1:9" x14ac:dyDescent="0.35">
      <c r="A142" s="10">
        <v>117</v>
      </c>
      <c r="B142" s="24">
        <v>21609.634009640136</v>
      </c>
      <c r="C142" s="24">
        <v>-148.63400964013636</v>
      </c>
      <c r="D142" s="8"/>
      <c r="E142" s="8"/>
      <c r="F142" s="8"/>
      <c r="G142" s="8"/>
      <c r="H142" s="8"/>
      <c r="I142" s="8"/>
    </row>
    <row r="143" spans="1:9" x14ac:dyDescent="0.35">
      <c r="A143" s="10">
        <v>118</v>
      </c>
      <c r="B143" s="24">
        <v>21670.341574083002</v>
      </c>
      <c r="C143" s="24">
        <v>-181.34157408300234</v>
      </c>
      <c r="D143" s="8"/>
      <c r="E143" s="8"/>
      <c r="F143" s="8"/>
      <c r="G143" s="8"/>
      <c r="H143" s="8"/>
      <c r="I143" s="8"/>
    </row>
    <row r="144" spans="1:9" x14ac:dyDescent="0.35">
      <c r="A144" s="10">
        <v>119</v>
      </c>
      <c r="B144" s="24">
        <v>21731.229250524888</v>
      </c>
      <c r="C144" s="24">
        <v>42.770749475112098</v>
      </c>
      <c r="D144" s="8"/>
      <c r="E144" s="8"/>
      <c r="F144" s="8"/>
      <c r="G144" s="8"/>
      <c r="H144" s="8"/>
      <c r="I144" s="8"/>
    </row>
    <row r="145" spans="1:9" x14ac:dyDescent="0.35">
      <c r="A145" s="10">
        <v>120</v>
      </c>
      <c r="B145" s="24">
        <v>21792.297038965789</v>
      </c>
      <c r="C145" s="24">
        <v>-259.2970389657894</v>
      </c>
      <c r="D145" s="8"/>
      <c r="E145" s="8"/>
      <c r="F145" s="8"/>
      <c r="G145" s="8"/>
      <c r="H145" s="8"/>
      <c r="I145" s="8"/>
    </row>
    <row r="146" spans="1:9" x14ac:dyDescent="0.35">
      <c r="A146" s="10">
        <v>121</v>
      </c>
      <c r="B146" s="24">
        <v>21853.544939405714</v>
      </c>
      <c r="C146" s="24">
        <v>164.4550605942859</v>
      </c>
      <c r="D146" s="8"/>
      <c r="E146" s="8"/>
      <c r="F146" s="8"/>
      <c r="G146" s="8"/>
      <c r="H146" s="8"/>
      <c r="I146" s="8"/>
    </row>
    <row r="147" spans="1:9" x14ac:dyDescent="0.35">
      <c r="A147" s="10">
        <v>122</v>
      </c>
      <c r="B147" s="24">
        <v>21914.972951844655</v>
      </c>
      <c r="C147" s="24">
        <v>710.02704815534526</v>
      </c>
      <c r="D147" s="8"/>
      <c r="E147" s="8"/>
      <c r="F147" s="8"/>
      <c r="G147" s="8"/>
      <c r="H147" s="8"/>
      <c r="I147" s="8"/>
    </row>
    <row r="148" spans="1:9" x14ac:dyDescent="0.35">
      <c r="A148" s="10">
        <v>123</v>
      </c>
      <c r="B148" s="24">
        <v>21976.581076282611</v>
      </c>
      <c r="C148" s="24">
        <v>-334.58107628261132</v>
      </c>
      <c r="D148" s="8"/>
      <c r="E148" s="8"/>
      <c r="F148" s="8"/>
      <c r="G148" s="8"/>
      <c r="H148" s="8"/>
      <c r="I148" s="8"/>
    </row>
    <row r="149" spans="1:9" x14ac:dyDescent="0.35">
      <c r="A149" s="10">
        <v>124</v>
      </c>
      <c r="B149" s="24">
        <v>22038.369312719595</v>
      </c>
      <c r="C149" s="24">
        <v>3173.6306872804053</v>
      </c>
      <c r="D149" s="8"/>
      <c r="E149" s="8"/>
      <c r="F149" s="8"/>
      <c r="G149" s="8"/>
      <c r="H149" s="8"/>
      <c r="I149" s="8"/>
    </row>
    <row r="150" spans="1:9" x14ac:dyDescent="0.35">
      <c r="A150" s="10">
        <v>125</v>
      </c>
      <c r="B150" s="24">
        <v>22100.33766115559</v>
      </c>
      <c r="C150" s="24">
        <v>56.662338844409533</v>
      </c>
      <c r="D150" s="8"/>
      <c r="E150" s="8"/>
      <c r="F150" s="8"/>
      <c r="G150" s="8"/>
      <c r="H150" s="8"/>
      <c r="I150" s="8"/>
    </row>
    <row r="151" spans="1:9" x14ac:dyDescent="0.35">
      <c r="A151" s="10">
        <v>126</v>
      </c>
      <c r="B151" s="24">
        <v>22162.486121590606</v>
      </c>
      <c r="C151" s="24">
        <v>227.51387840939424</v>
      </c>
      <c r="D151" s="8"/>
      <c r="E151" s="8"/>
      <c r="F151" s="8"/>
      <c r="G151" s="8"/>
      <c r="H151" s="8"/>
      <c r="I151" s="8"/>
    </row>
    <row r="152" spans="1:9" x14ac:dyDescent="0.35">
      <c r="A152" s="10">
        <v>127</v>
      </c>
      <c r="B152" s="24">
        <v>22224.814694024644</v>
      </c>
      <c r="C152" s="24">
        <v>1325.1853059753557</v>
      </c>
      <c r="D152" s="8"/>
      <c r="E152" s="8"/>
      <c r="F152" s="8"/>
      <c r="G152" s="8"/>
      <c r="H152" s="8"/>
      <c r="I152" s="8"/>
    </row>
    <row r="153" spans="1:9" x14ac:dyDescent="0.35">
      <c r="A153" s="10">
        <v>128</v>
      </c>
      <c r="B153" s="24">
        <v>22287.323378457699</v>
      </c>
      <c r="C153" s="24">
        <v>362.67662154230129</v>
      </c>
      <c r="D153" s="8"/>
      <c r="E153" s="8"/>
      <c r="F153" s="8"/>
      <c r="G153" s="8"/>
      <c r="H153" s="8"/>
      <c r="I153" s="8"/>
    </row>
    <row r="154" spans="1:9" x14ac:dyDescent="0.35">
      <c r="A154" s="10">
        <v>129</v>
      </c>
      <c r="B154" s="24">
        <v>22350.012174889769</v>
      </c>
      <c r="C154" s="24">
        <v>740.98782511023092</v>
      </c>
      <c r="D154" s="8"/>
      <c r="E154" s="8"/>
      <c r="F154" s="8"/>
      <c r="G154" s="8"/>
      <c r="H154" s="8"/>
      <c r="I154" s="8"/>
    </row>
    <row r="155" spans="1:9" x14ac:dyDescent="0.35">
      <c r="A155" s="10">
        <v>130</v>
      </c>
      <c r="B155" s="24">
        <v>22412.881083320866</v>
      </c>
      <c r="C155" s="24">
        <v>283.11891667913369</v>
      </c>
      <c r="D155" s="8"/>
      <c r="E155" s="8"/>
      <c r="F155" s="8"/>
      <c r="G155" s="8"/>
      <c r="H155" s="8"/>
      <c r="I155" s="8"/>
    </row>
    <row r="156" spans="1:9" x14ac:dyDescent="0.35">
      <c r="A156" s="10">
        <v>131</v>
      </c>
      <c r="B156" s="24">
        <v>22475.930103750976</v>
      </c>
      <c r="C156" s="24">
        <v>-318.93010375097583</v>
      </c>
      <c r="D156" s="8"/>
      <c r="E156" s="8"/>
      <c r="F156" s="8"/>
      <c r="G156" s="8"/>
      <c r="H156" s="8"/>
      <c r="I156" s="8"/>
    </row>
    <row r="157" spans="1:9" x14ac:dyDescent="0.35">
      <c r="A157" s="10">
        <v>132</v>
      </c>
      <c r="B157" s="24">
        <v>22539.159236180105</v>
      </c>
      <c r="C157" s="24">
        <v>449.84076381989507</v>
      </c>
      <c r="D157" s="8"/>
      <c r="E157" s="8"/>
      <c r="F157" s="8"/>
      <c r="G157" s="8"/>
      <c r="H157" s="8"/>
      <c r="I157" s="8"/>
    </row>
    <row r="158" spans="1:9" x14ac:dyDescent="0.35">
      <c r="A158" s="10">
        <v>133</v>
      </c>
      <c r="B158" s="24">
        <v>22602.568480608257</v>
      </c>
      <c r="C158" s="24">
        <v>-391.56848060825723</v>
      </c>
      <c r="D158" s="8"/>
      <c r="E158" s="8"/>
      <c r="F158" s="8"/>
      <c r="G158" s="8"/>
      <c r="H158" s="8"/>
      <c r="I158" s="8"/>
    </row>
    <row r="159" spans="1:9" x14ac:dyDescent="0.35">
      <c r="A159" s="10">
        <v>134</v>
      </c>
      <c r="B159" s="24">
        <v>22666.157837035422</v>
      </c>
      <c r="C159" s="24">
        <v>-570.15783703542184</v>
      </c>
      <c r="D159" s="8"/>
      <c r="E159" s="8"/>
      <c r="F159" s="8"/>
      <c r="G159" s="8"/>
      <c r="H159" s="8"/>
      <c r="I159" s="8"/>
    </row>
    <row r="160" spans="1:9" x14ac:dyDescent="0.35">
      <c r="A160" s="10">
        <v>135</v>
      </c>
      <c r="B160" s="24">
        <v>22729.92730546161</v>
      </c>
      <c r="C160" s="24">
        <v>-875.92730546160965</v>
      </c>
      <c r="D160" s="8"/>
      <c r="E160" s="8"/>
      <c r="F160" s="8"/>
      <c r="G160" s="8"/>
      <c r="H160" s="8"/>
      <c r="I160" s="8"/>
    </row>
    <row r="161" spans="1:9" x14ac:dyDescent="0.35">
      <c r="A161" s="10">
        <v>136</v>
      </c>
      <c r="B161" s="24">
        <v>22793.876885886817</v>
      </c>
      <c r="C161" s="24">
        <v>1695.123114113183</v>
      </c>
      <c r="D161" s="8"/>
      <c r="E161" s="8"/>
      <c r="F161" s="8"/>
      <c r="G161" s="8"/>
      <c r="H161" s="8"/>
      <c r="I161" s="8"/>
    </row>
    <row r="162" spans="1:9" x14ac:dyDescent="0.35">
      <c r="A162" s="10">
        <v>137</v>
      </c>
      <c r="B162" s="24">
        <v>22858.00657831104</v>
      </c>
      <c r="C162" s="24">
        <v>-479.00657831104036</v>
      </c>
      <c r="D162" s="8"/>
      <c r="E162" s="8"/>
      <c r="F162" s="8"/>
      <c r="G162" s="8"/>
      <c r="H162" s="8"/>
      <c r="I162" s="8"/>
    </row>
    <row r="163" spans="1:9" x14ac:dyDescent="0.35">
      <c r="A163" s="10">
        <v>138</v>
      </c>
      <c r="B163" s="24">
        <v>22922.316382734283</v>
      </c>
      <c r="C163" s="24">
        <v>-1688.3163827342833</v>
      </c>
      <c r="D163" s="8"/>
      <c r="E163" s="8"/>
      <c r="F163" s="8"/>
      <c r="G163" s="8"/>
      <c r="H163" s="8"/>
      <c r="I163" s="8"/>
    </row>
    <row r="164" spans="1:9" x14ac:dyDescent="0.35">
      <c r="A164" s="10">
        <v>139</v>
      </c>
      <c r="B164" s="24">
        <v>22986.806299156546</v>
      </c>
      <c r="C164" s="24">
        <v>361.19370084345428</v>
      </c>
      <c r="D164" s="8"/>
      <c r="E164" s="8"/>
      <c r="F164" s="8"/>
      <c r="G164" s="8"/>
      <c r="H164" s="8"/>
      <c r="I164" s="8"/>
    </row>
    <row r="165" spans="1:9" x14ac:dyDescent="0.35">
      <c r="A165" s="10">
        <v>140</v>
      </c>
      <c r="B165" s="24">
        <v>23051.476327577828</v>
      </c>
      <c r="C165" s="24">
        <v>-757.47632757782776</v>
      </c>
      <c r="D165" s="8"/>
      <c r="E165" s="8"/>
      <c r="F165" s="8"/>
      <c r="G165" s="8"/>
      <c r="H165" s="8"/>
      <c r="I165" s="8"/>
    </row>
    <row r="166" spans="1:9" x14ac:dyDescent="0.35">
      <c r="A166" s="10">
        <v>141</v>
      </c>
      <c r="B166" s="24">
        <v>23116.326467998126</v>
      </c>
      <c r="C166" s="24">
        <v>620.67353200187426</v>
      </c>
      <c r="D166" s="8"/>
      <c r="E166" s="8"/>
      <c r="F166" s="8"/>
      <c r="G166" s="8"/>
      <c r="H166" s="8"/>
      <c r="I166" s="8"/>
    </row>
    <row r="167" spans="1:9" x14ac:dyDescent="0.35">
      <c r="A167" s="10">
        <v>142</v>
      </c>
      <c r="B167" s="24">
        <v>23181.356720417447</v>
      </c>
      <c r="C167" s="24">
        <v>-126.35672041744692</v>
      </c>
      <c r="D167" s="8"/>
      <c r="E167" s="8"/>
      <c r="F167" s="8"/>
      <c r="G167" s="8"/>
      <c r="H167" s="8"/>
      <c r="I167" s="8"/>
    </row>
    <row r="168" spans="1:9" x14ac:dyDescent="0.35">
      <c r="A168" s="10">
        <v>143</v>
      </c>
      <c r="B168" s="24">
        <v>23246.567084835784</v>
      </c>
      <c r="C168" s="24">
        <v>-951.56708483578404</v>
      </c>
      <c r="D168" s="8"/>
      <c r="E168" s="8"/>
      <c r="F168" s="8"/>
      <c r="G168" s="8"/>
      <c r="H168" s="8"/>
      <c r="I168" s="8"/>
    </row>
    <row r="169" spans="1:9" x14ac:dyDescent="0.35">
      <c r="A169" s="10">
        <v>144</v>
      </c>
      <c r="B169" s="24">
        <v>23311.957561253141</v>
      </c>
      <c r="C169" s="24">
        <v>228.04243874685926</v>
      </c>
      <c r="D169" s="8"/>
      <c r="E169" s="8"/>
      <c r="F169" s="8"/>
      <c r="G169" s="8"/>
      <c r="H169" s="8"/>
      <c r="I169" s="8"/>
    </row>
    <row r="170" spans="1:9" x14ac:dyDescent="0.35">
      <c r="A170" s="10">
        <v>145</v>
      </c>
      <c r="B170" s="24">
        <v>23377.528149669517</v>
      </c>
      <c r="C170" s="24">
        <v>-749.52814966951701</v>
      </c>
      <c r="D170" s="8"/>
      <c r="E170" s="8"/>
      <c r="F170" s="8"/>
      <c r="G170" s="8"/>
      <c r="H170" s="8"/>
      <c r="I170" s="8"/>
    </row>
    <row r="171" spans="1:9" x14ac:dyDescent="0.35">
      <c r="A171" s="10">
        <v>146</v>
      </c>
      <c r="B171" s="24">
        <v>23443.278850084909</v>
      </c>
      <c r="C171" s="24">
        <v>661.72114991509079</v>
      </c>
      <c r="D171" s="8"/>
      <c r="E171" s="8"/>
      <c r="F171" s="8"/>
      <c r="G171" s="8"/>
      <c r="H171" s="8"/>
      <c r="I171" s="8"/>
    </row>
    <row r="172" spans="1:9" x14ac:dyDescent="0.35">
      <c r="A172" s="10">
        <v>147</v>
      </c>
      <c r="B172" s="24">
        <v>23509.209662499325</v>
      </c>
      <c r="C172" s="24">
        <v>-150.20966249932462</v>
      </c>
      <c r="D172" s="8"/>
      <c r="E172" s="8"/>
      <c r="F172" s="8"/>
      <c r="G172" s="8"/>
      <c r="H172" s="8"/>
      <c r="I172" s="8"/>
    </row>
    <row r="173" spans="1:9" x14ac:dyDescent="0.35">
      <c r="A173" s="10">
        <v>148</v>
      </c>
      <c r="B173" s="24">
        <v>23575.320586912756</v>
      </c>
      <c r="C173" s="24">
        <v>1846.679413087244</v>
      </c>
      <c r="D173" s="8"/>
      <c r="E173" s="8"/>
      <c r="F173" s="8"/>
      <c r="G173" s="8"/>
      <c r="H173" s="8"/>
      <c r="I173" s="8"/>
    </row>
    <row r="174" spans="1:9" x14ac:dyDescent="0.35">
      <c r="A174" s="10">
        <v>149</v>
      </c>
      <c r="B174" s="24">
        <v>23641.611623325207</v>
      </c>
      <c r="C174" s="24">
        <v>638.38837667479311</v>
      </c>
      <c r="D174" s="8"/>
      <c r="E174" s="8"/>
      <c r="F174" s="8"/>
      <c r="G174" s="8"/>
      <c r="H174" s="8"/>
      <c r="I174" s="8"/>
    </row>
    <row r="175" spans="1:9" x14ac:dyDescent="0.35">
      <c r="A175" s="10">
        <v>150</v>
      </c>
      <c r="B175" s="24">
        <v>23708.082771736677</v>
      </c>
      <c r="C175" s="24">
        <v>-1701.0827717366774</v>
      </c>
      <c r="D175" s="8"/>
      <c r="E175" s="8"/>
      <c r="F175" s="8"/>
      <c r="G175" s="8"/>
      <c r="H175" s="8"/>
      <c r="I175" s="8"/>
    </row>
    <row r="176" spans="1:9" x14ac:dyDescent="0.35">
      <c r="A176" s="10">
        <v>151</v>
      </c>
      <c r="B176" s="24">
        <v>23774.734032147167</v>
      </c>
      <c r="C176" s="24">
        <v>300.26596785283255</v>
      </c>
      <c r="D176" s="8"/>
      <c r="E176" s="8"/>
      <c r="F176" s="8"/>
      <c r="G176" s="8"/>
      <c r="H176" s="8"/>
      <c r="I176" s="8"/>
    </row>
    <row r="177" spans="1:9" x14ac:dyDescent="0.35">
      <c r="A177" s="10">
        <v>152</v>
      </c>
      <c r="B177" s="24">
        <v>23841.565404556673</v>
      </c>
      <c r="C177" s="24">
        <v>-599.56540455667346</v>
      </c>
      <c r="D177" s="8"/>
      <c r="E177" s="8"/>
      <c r="F177" s="8"/>
      <c r="G177" s="8"/>
      <c r="H177" s="8"/>
      <c r="I177" s="8"/>
    </row>
    <row r="178" spans="1:9" x14ac:dyDescent="0.35">
      <c r="A178" s="10">
        <v>153</v>
      </c>
      <c r="B178" s="24">
        <v>23908.576888965203</v>
      </c>
      <c r="C178" s="24">
        <v>939.42311103479733</v>
      </c>
      <c r="D178" s="8"/>
      <c r="E178" s="8"/>
      <c r="F178" s="8"/>
      <c r="G178" s="8"/>
      <c r="H178" s="8"/>
      <c r="I178" s="8"/>
    </row>
    <row r="179" spans="1:9" x14ac:dyDescent="0.35">
      <c r="A179" s="10">
        <v>154</v>
      </c>
      <c r="B179" s="24">
        <v>23975.768485372748</v>
      </c>
      <c r="C179" s="24">
        <v>-646.76848537274782</v>
      </c>
      <c r="D179" s="8"/>
      <c r="E179" s="8"/>
      <c r="F179" s="8"/>
      <c r="G179" s="8"/>
      <c r="H179" s="8"/>
      <c r="I179" s="8"/>
    </row>
    <row r="180" spans="1:9" x14ac:dyDescent="0.35">
      <c r="A180" s="10">
        <v>155</v>
      </c>
      <c r="B180" s="24">
        <v>24043.140193779309</v>
      </c>
      <c r="C180" s="24">
        <v>-462.1401937793089</v>
      </c>
      <c r="D180" s="8"/>
      <c r="E180" s="8"/>
      <c r="F180" s="8"/>
      <c r="G180" s="8"/>
      <c r="H180" s="8"/>
      <c r="I180" s="8"/>
    </row>
    <row r="181" spans="1:9" x14ac:dyDescent="0.35">
      <c r="A181" s="10">
        <v>156</v>
      </c>
      <c r="B181" s="24">
        <v>24110.692014184893</v>
      </c>
      <c r="C181" s="24">
        <v>651.3079858151068</v>
      </c>
      <c r="D181" s="8"/>
      <c r="E181" s="8"/>
      <c r="F181" s="8"/>
      <c r="G181" s="8"/>
      <c r="H181" s="8"/>
      <c r="I181" s="8"/>
    </row>
    <row r="182" spans="1:9" x14ac:dyDescent="0.35">
      <c r="A182" s="10">
        <v>157</v>
      </c>
      <c r="B182" s="24">
        <v>24178.423946589497</v>
      </c>
      <c r="C182" s="24">
        <v>-1248.4239465894971</v>
      </c>
      <c r="D182" s="8"/>
      <c r="E182" s="8"/>
      <c r="F182" s="8"/>
      <c r="G182" s="8"/>
      <c r="H182" s="8"/>
      <c r="I182" s="8"/>
    </row>
    <row r="183" spans="1:9" x14ac:dyDescent="0.35">
      <c r="A183" s="10">
        <v>158</v>
      </c>
      <c r="B183" s="24">
        <v>24246.335990993117</v>
      </c>
      <c r="C183" s="24">
        <v>1361.6640090068831</v>
      </c>
      <c r="D183" s="8"/>
      <c r="E183" s="8"/>
      <c r="F183" s="8"/>
      <c r="G183" s="8"/>
      <c r="H183" s="8"/>
      <c r="I183" s="8"/>
    </row>
    <row r="184" spans="1:9" x14ac:dyDescent="0.35">
      <c r="A184" s="10">
        <v>159</v>
      </c>
      <c r="B184" s="24">
        <v>24314.42814739576</v>
      </c>
      <c r="C184" s="24">
        <v>238.57185260424012</v>
      </c>
      <c r="D184" s="8"/>
      <c r="E184" s="8"/>
      <c r="F184" s="8"/>
      <c r="G184" s="8"/>
      <c r="H184" s="8"/>
      <c r="I184" s="8"/>
    </row>
    <row r="185" spans="1:9" x14ac:dyDescent="0.35">
      <c r="A185" s="10">
        <v>160</v>
      </c>
      <c r="B185" s="24">
        <v>24382.700415797415</v>
      </c>
      <c r="C185" s="24">
        <v>1248.2995842025848</v>
      </c>
      <c r="D185" s="8"/>
      <c r="E185" s="8"/>
      <c r="F185" s="8"/>
      <c r="G185" s="8"/>
      <c r="H185" s="8"/>
      <c r="I185" s="8"/>
    </row>
    <row r="186" spans="1:9" x14ac:dyDescent="0.35">
      <c r="A186" s="10">
        <v>161</v>
      </c>
      <c r="B186" s="24">
        <v>24451.152796198094</v>
      </c>
      <c r="C186" s="24">
        <v>585.84720380190629</v>
      </c>
      <c r="D186" s="8"/>
      <c r="E186" s="8"/>
      <c r="F186" s="8"/>
      <c r="G186" s="8"/>
      <c r="H186" s="8"/>
      <c r="I186" s="8"/>
    </row>
    <row r="187" spans="1:9" x14ac:dyDescent="0.35">
      <c r="A187" s="10">
        <v>162</v>
      </c>
      <c r="B187" s="24">
        <v>24519.785288597788</v>
      </c>
      <c r="C187" s="24">
        <v>-1279.7852885977882</v>
      </c>
      <c r="D187" s="8"/>
      <c r="E187" s="8"/>
      <c r="F187" s="8"/>
      <c r="G187" s="8"/>
      <c r="H187" s="8"/>
      <c r="I187" s="8"/>
    </row>
    <row r="188" spans="1:9" x14ac:dyDescent="0.35">
      <c r="A188" s="10">
        <v>163</v>
      </c>
      <c r="B188" s="24">
        <v>24588.597892996506</v>
      </c>
      <c r="C188" s="24">
        <v>-11.597892996505834</v>
      </c>
      <c r="D188" s="8"/>
      <c r="E188" s="8"/>
      <c r="F188" s="8"/>
      <c r="G188" s="8"/>
      <c r="H188" s="8"/>
      <c r="I188" s="8"/>
    </row>
    <row r="189" spans="1:9" x14ac:dyDescent="0.35">
      <c r="A189" s="10">
        <v>164</v>
      </c>
      <c r="B189" s="24">
        <v>24657.590609394239</v>
      </c>
      <c r="C189" s="24">
        <v>148.40939060576056</v>
      </c>
      <c r="D189" s="8"/>
      <c r="E189" s="8"/>
      <c r="F189" s="8"/>
      <c r="G189" s="8"/>
      <c r="H189" s="8"/>
      <c r="I189" s="8"/>
    </row>
    <row r="190" spans="1:9" x14ac:dyDescent="0.35">
      <c r="A190" s="10">
        <v>165</v>
      </c>
      <c r="B190" s="24">
        <v>24726.763437790996</v>
      </c>
      <c r="C190" s="24">
        <v>990.23656220900375</v>
      </c>
      <c r="D190" s="8"/>
      <c r="E190" s="8"/>
      <c r="F190" s="8"/>
      <c r="G190" s="8"/>
      <c r="H190" s="8"/>
      <c r="I190" s="8"/>
    </row>
    <row r="191" spans="1:9" x14ac:dyDescent="0.35">
      <c r="A191" s="10">
        <v>166</v>
      </c>
      <c r="B191" s="24">
        <v>24796.116378186765</v>
      </c>
      <c r="C191" s="24">
        <v>-1051.1163781867654</v>
      </c>
      <c r="D191" s="8"/>
      <c r="E191" s="8"/>
      <c r="F191" s="8"/>
      <c r="G191" s="8"/>
      <c r="H191" s="8"/>
      <c r="I191" s="8"/>
    </row>
    <row r="192" spans="1:9" x14ac:dyDescent="0.35">
      <c r="A192" s="10">
        <v>167</v>
      </c>
      <c r="B192" s="24">
        <v>24865.649430581558</v>
      </c>
      <c r="C192" s="24">
        <v>-334.64943058155768</v>
      </c>
      <c r="D192" s="8"/>
      <c r="E192" s="8"/>
      <c r="F192" s="8"/>
      <c r="G192" s="8"/>
      <c r="H192" s="8"/>
      <c r="I192" s="8"/>
    </row>
    <row r="193" spans="1:9" x14ac:dyDescent="0.35">
      <c r="A193" s="10">
        <v>168</v>
      </c>
      <c r="B193" s="24">
        <v>24935.362594975362</v>
      </c>
      <c r="C193" s="24">
        <v>-225.3625949753623</v>
      </c>
      <c r="D193" s="8"/>
      <c r="E193" s="8"/>
      <c r="F193" s="8"/>
      <c r="G193" s="8"/>
      <c r="H193" s="8"/>
      <c r="I193" s="8"/>
    </row>
    <row r="194" spans="1:9" x14ac:dyDescent="0.35">
      <c r="A194" s="10">
        <v>169</v>
      </c>
      <c r="B194" s="24">
        <v>25005.255871368194</v>
      </c>
      <c r="C194" s="24">
        <v>-1375.2558713681938</v>
      </c>
      <c r="D194" s="8"/>
      <c r="E194" s="8"/>
      <c r="F194" s="8"/>
      <c r="G194" s="8"/>
      <c r="H194" s="8"/>
      <c r="I194" s="8"/>
    </row>
    <row r="195" spans="1:9" x14ac:dyDescent="0.35">
      <c r="A195" s="10">
        <v>170</v>
      </c>
      <c r="B195" s="24">
        <v>25075.329259760041</v>
      </c>
      <c r="C195" s="24">
        <v>1021.6707402399588</v>
      </c>
      <c r="D195" s="8"/>
      <c r="E195" s="8"/>
      <c r="F195" s="8"/>
      <c r="G195" s="8"/>
      <c r="H195" s="8"/>
      <c r="I195" s="8"/>
    </row>
    <row r="196" spans="1:9" x14ac:dyDescent="0.35">
      <c r="A196" s="10">
        <v>171</v>
      </c>
      <c r="B196" s="24">
        <v>25145.582760150912</v>
      </c>
      <c r="C196" s="24">
        <v>-1181.5827601509118</v>
      </c>
      <c r="D196" s="8"/>
      <c r="E196" s="8"/>
      <c r="F196" s="8"/>
      <c r="G196" s="8"/>
      <c r="H196" s="8"/>
      <c r="I196" s="8"/>
    </row>
    <row r="197" spans="1:9" x14ac:dyDescent="0.35">
      <c r="A197" s="10">
        <v>172</v>
      </c>
      <c r="B197" s="24">
        <v>25216.016372540795</v>
      </c>
      <c r="C197" s="24">
        <v>1292.9836274592053</v>
      </c>
      <c r="D197" s="8"/>
      <c r="E197" s="8"/>
      <c r="F197" s="8"/>
      <c r="G197" s="8"/>
      <c r="H197" s="8"/>
      <c r="I197" s="8"/>
    </row>
    <row r="198" spans="1:9" x14ac:dyDescent="0.35">
      <c r="A198" s="10">
        <v>173</v>
      </c>
      <c r="B198" s="24">
        <v>25286.630096929697</v>
      </c>
      <c r="C198" s="24">
        <v>-77.630096929697174</v>
      </c>
      <c r="D198" s="8"/>
      <c r="E198" s="8"/>
      <c r="F198" s="8"/>
      <c r="G198" s="8"/>
      <c r="H198" s="8"/>
      <c r="I198" s="8"/>
    </row>
    <row r="199" spans="1:9" x14ac:dyDescent="0.35">
      <c r="A199" s="10">
        <v>174</v>
      </c>
      <c r="B199" s="24">
        <v>25357.423933317619</v>
      </c>
      <c r="C199" s="24">
        <v>-1423.4239333176192</v>
      </c>
      <c r="D199" s="8"/>
      <c r="E199" s="8"/>
      <c r="F199" s="8"/>
      <c r="G199" s="8"/>
      <c r="H199" s="8"/>
      <c r="I199" s="8"/>
    </row>
    <row r="200" spans="1:9" x14ac:dyDescent="0.35">
      <c r="A200" s="10">
        <v>175</v>
      </c>
      <c r="B200" s="24">
        <v>25428.397881704564</v>
      </c>
      <c r="C200" s="24">
        <v>2410.6021182954355</v>
      </c>
      <c r="D200" s="8"/>
      <c r="E200" s="8"/>
      <c r="F200" s="8"/>
      <c r="G200" s="8"/>
      <c r="H200" s="8"/>
      <c r="I200" s="8"/>
    </row>
    <row r="201" spans="1:9" x14ac:dyDescent="0.35">
      <c r="A201" s="10">
        <v>176</v>
      </c>
      <c r="B201" s="24">
        <v>25499.551942090526</v>
      </c>
      <c r="C201" s="24">
        <v>-750.5519420905257</v>
      </c>
      <c r="D201" s="8"/>
      <c r="E201" s="8"/>
      <c r="F201" s="8"/>
      <c r="G201" s="8"/>
      <c r="H201" s="8"/>
      <c r="I201" s="8"/>
    </row>
    <row r="202" spans="1:9" x14ac:dyDescent="0.35">
      <c r="A202" s="10">
        <v>177</v>
      </c>
      <c r="B202" s="24">
        <v>25570.886114475506</v>
      </c>
      <c r="C202" s="24">
        <v>-647.88611447550647</v>
      </c>
      <c r="D202" s="8"/>
      <c r="E202" s="8"/>
      <c r="F202" s="8"/>
      <c r="G202" s="8"/>
      <c r="H202" s="8"/>
      <c r="I202" s="8"/>
    </row>
    <row r="203" spans="1:9" x14ac:dyDescent="0.35">
      <c r="A203" s="10">
        <v>178</v>
      </c>
      <c r="B203" s="24">
        <v>25642.400398859503</v>
      </c>
      <c r="C203" s="24">
        <v>198.59960114049682</v>
      </c>
      <c r="D203" s="8"/>
      <c r="E203" s="8"/>
      <c r="F203" s="8"/>
      <c r="G203" s="8"/>
      <c r="H203" s="8"/>
      <c r="I203" s="8"/>
    </row>
    <row r="204" spans="1:9" x14ac:dyDescent="0.35">
      <c r="A204" s="10">
        <v>179</v>
      </c>
      <c r="B204" s="24">
        <v>25714.094795242519</v>
      </c>
      <c r="C204" s="24">
        <v>619.90520475748053</v>
      </c>
      <c r="D204" s="8"/>
      <c r="E204" s="8"/>
      <c r="F204" s="8"/>
      <c r="G204" s="8"/>
      <c r="H204" s="8"/>
      <c r="I204" s="8"/>
    </row>
    <row r="205" spans="1:9" ht="15" thickBot="1" x14ac:dyDescent="0.4">
      <c r="A205" s="11">
        <v>180</v>
      </c>
      <c r="B205" s="25">
        <v>25785.969303624555</v>
      </c>
      <c r="C205" s="25">
        <v>127.03069637544468</v>
      </c>
      <c r="D205" s="8"/>
      <c r="E205" s="8"/>
      <c r="F205" s="8"/>
      <c r="G205" s="8"/>
      <c r="H205" s="8"/>
      <c r="I205" s="8"/>
    </row>
  </sheetData>
  <mergeCells count="1">
    <mergeCell ref="C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53A24-8A73-4EF1-BA16-F285EA4F7E16}">
  <dimension ref="A1:P181"/>
  <sheetViews>
    <sheetView workbookViewId="0">
      <selection activeCell="H4" sqref="H4"/>
    </sheetView>
  </sheetViews>
  <sheetFormatPr defaultRowHeight="14.5" x14ac:dyDescent="0.35"/>
  <cols>
    <col min="1" max="1" width="11.08984375" bestFit="1" customWidth="1"/>
    <col min="2" max="2" width="7.26953125" customWidth="1"/>
    <col min="3" max="3" width="20.6328125" style="7" bestFit="1" customWidth="1"/>
    <col min="4" max="4" width="6.81640625" customWidth="1"/>
    <col min="5" max="5" width="5.90625" customWidth="1"/>
    <col min="6" max="6" width="23.54296875" bestFit="1" customWidth="1"/>
  </cols>
  <sheetData>
    <row r="1" spans="1:16" ht="15" thickBot="1" x14ac:dyDescent="0.4">
      <c r="A1" s="76" t="s">
        <v>174</v>
      </c>
      <c r="B1" s="77" t="s">
        <v>175</v>
      </c>
      <c r="C1" s="83" t="s">
        <v>4</v>
      </c>
      <c r="D1" s="77" t="s">
        <v>175</v>
      </c>
      <c r="E1" s="77" t="s">
        <v>184</v>
      </c>
      <c r="F1" s="79" t="s">
        <v>212</v>
      </c>
    </row>
    <row r="2" spans="1:16" ht="15" thickBot="1" x14ac:dyDescent="0.4">
      <c r="A2" s="60" t="s">
        <v>0</v>
      </c>
      <c r="B2" s="61" t="str">
        <f t="shared" ref="B2:B33" si="0">MID(A2,6,4)</f>
        <v>2005</v>
      </c>
      <c r="C2" s="84">
        <v>14615</v>
      </c>
      <c r="D2" s="63">
        <v>2005</v>
      </c>
      <c r="E2" s="61">
        <v>1</v>
      </c>
      <c r="F2" s="89">
        <f>LN(C2)</f>
        <v>9.5898036775453459</v>
      </c>
      <c r="H2" s="116" t="s">
        <v>244</v>
      </c>
      <c r="I2" s="117"/>
      <c r="J2" s="117"/>
      <c r="K2" s="117"/>
      <c r="L2" s="117"/>
      <c r="M2" s="117"/>
      <c r="N2" s="117"/>
      <c r="O2" s="117"/>
      <c r="P2" s="118"/>
    </row>
    <row r="3" spans="1:16" x14ac:dyDescent="0.35">
      <c r="A3" s="60" t="s">
        <v>1</v>
      </c>
      <c r="B3" s="61" t="str">
        <f t="shared" si="0"/>
        <v>2005</v>
      </c>
      <c r="C3" s="84">
        <v>14846</v>
      </c>
      <c r="D3" s="63">
        <v>2005</v>
      </c>
      <c r="E3" s="61">
        <v>2</v>
      </c>
      <c r="F3" s="89">
        <f t="shared" ref="F3:F66" si="1">LN(C3)</f>
        <v>9.6054857476774931</v>
      </c>
    </row>
    <row r="4" spans="1:16" x14ac:dyDescent="0.35">
      <c r="A4" s="60" t="s">
        <v>2</v>
      </c>
      <c r="B4" s="61" t="str">
        <f t="shared" si="0"/>
        <v>2005</v>
      </c>
      <c r="C4" s="84">
        <v>14885</v>
      </c>
      <c r="D4" s="63">
        <v>2005</v>
      </c>
      <c r="E4" s="61">
        <v>3</v>
      </c>
      <c r="F4" s="89">
        <f t="shared" si="1"/>
        <v>9.6081092734498768</v>
      </c>
    </row>
    <row r="5" spans="1:16" x14ac:dyDescent="0.35">
      <c r="A5" s="60" t="s">
        <v>3</v>
      </c>
      <c r="B5" s="61" t="str">
        <f t="shared" si="0"/>
        <v>2005</v>
      </c>
      <c r="C5" s="84">
        <v>17103</v>
      </c>
      <c r="D5" s="63">
        <v>2005</v>
      </c>
      <c r="E5" s="61">
        <v>4</v>
      </c>
      <c r="F5" s="89">
        <f t="shared" si="1"/>
        <v>9.7470091656996907</v>
      </c>
    </row>
    <row r="6" spans="1:16" x14ac:dyDescent="0.35">
      <c r="A6" s="60" t="s">
        <v>5</v>
      </c>
      <c r="B6" s="61" t="str">
        <f t="shared" si="0"/>
        <v>2006</v>
      </c>
      <c r="C6" s="84">
        <v>15257</v>
      </c>
      <c r="D6" s="63">
        <v>2006</v>
      </c>
      <c r="E6" s="61">
        <v>5</v>
      </c>
      <c r="F6" s="89">
        <f t="shared" si="1"/>
        <v>9.6327936931132019</v>
      </c>
    </row>
    <row r="7" spans="1:16" x14ac:dyDescent="0.35">
      <c r="A7" s="60" t="s">
        <v>6</v>
      </c>
      <c r="B7" s="61" t="str">
        <f t="shared" si="0"/>
        <v>2006</v>
      </c>
      <c r="C7" s="84">
        <v>14681</v>
      </c>
      <c r="D7" s="63">
        <v>2006</v>
      </c>
      <c r="E7" s="61">
        <v>6</v>
      </c>
      <c r="F7" s="89">
        <f t="shared" si="1"/>
        <v>9.5943094197394601</v>
      </c>
    </row>
    <row r="8" spans="1:16" x14ac:dyDescent="0.35">
      <c r="A8" s="60" t="s">
        <v>7</v>
      </c>
      <c r="B8" s="61" t="str">
        <f t="shared" si="0"/>
        <v>2006</v>
      </c>
      <c r="C8" s="84">
        <v>16174</v>
      </c>
      <c r="D8" s="63">
        <v>2006</v>
      </c>
      <c r="E8" s="61">
        <v>7</v>
      </c>
      <c r="F8" s="89">
        <f t="shared" si="1"/>
        <v>9.6911602936557681</v>
      </c>
    </row>
    <row r="9" spans="1:16" x14ac:dyDescent="0.35">
      <c r="A9" s="60" t="s">
        <v>8</v>
      </c>
      <c r="B9" s="61" t="str">
        <f t="shared" si="0"/>
        <v>2006</v>
      </c>
      <c r="C9" s="84">
        <v>15225</v>
      </c>
      <c r="D9" s="63">
        <v>2006</v>
      </c>
      <c r="E9" s="61">
        <v>8</v>
      </c>
      <c r="F9" s="89">
        <f t="shared" si="1"/>
        <v>9.6306940925780982</v>
      </c>
    </row>
    <row r="10" spans="1:16" x14ac:dyDescent="0.35">
      <c r="A10" s="60" t="s">
        <v>177</v>
      </c>
      <c r="B10" s="61" t="str">
        <f t="shared" si="0"/>
        <v>2006</v>
      </c>
      <c r="C10" s="84">
        <v>16271</v>
      </c>
      <c r="D10" s="63">
        <v>2006</v>
      </c>
      <c r="E10" s="61">
        <v>9</v>
      </c>
      <c r="F10" s="89">
        <f t="shared" si="1"/>
        <v>9.6971396611393192</v>
      </c>
    </row>
    <row r="11" spans="1:16" x14ac:dyDescent="0.35">
      <c r="A11" s="60" t="s">
        <v>9</v>
      </c>
      <c r="B11" s="61" t="str">
        <f t="shared" si="0"/>
        <v>2006</v>
      </c>
      <c r="C11" s="84">
        <v>15720</v>
      </c>
      <c r="D11" s="63">
        <v>2006</v>
      </c>
      <c r="E11" s="61">
        <v>10</v>
      </c>
      <c r="F11" s="89">
        <f t="shared" si="1"/>
        <v>9.6626890659831979</v>
      </c>
    </row>
    <row r="12" spans="1:16" x14ac:dyDescent="0.35">
      <c r="A12" s="60" t="s">
        <v>10</v>
      </c>
      <c r="B12" s="61" t="str">
        <f t="shared" si="0"/>
        <v>2006</v>
      </c>
      <c r="C12" s="84">
        <v>15426</v>
      </c>
      <c r="D12" s="63">
        <v>2006</v>
      </c>
      <c r="E12" s="61">
        <v>11</v>
      </c>
      <c r="F12" s="89">
        <f t="shared" si="1"/>
        <v>9.6438096764939445</v>
      </c>
    </row>
    <row r="13" spans="1:16" x14ac:dyDescent="0.35">
      <c r="A13" s="60" t="s">
        <v>11</v>
      </c>
      <c r="B13" s="61" t="str">
        <f t="shared" si="0"/>
        <v>2006</v>
      </c>
      <c r="C13" s="84">
        <v>16092</v>
      </c>
      <c r="D13" s="63">
        <v>2006</v>
      </c>
      <c r="E13" s="61">
        <v>12</v>
      </c>
      <c r="F13" s="89">
        <f t="shared" si="1"/>
        <v>9.6860775330696782</v>
      </c>
    </row>
    <row r="14" spans="1:16" x14ac:dyDescent="0.35">
      <c r="A14" s="60" t="s">
        <v>12</v>
      </c>
      <c r="B14" s="61" t="str">
        <f t="shared" si="0"/>
        <v>2006</v>
      </c>
      <c r="C14" s="84">
        <v>15483</v>
      </c>
      <c r="D14" s="63">
        <v>2006</v>
      </c>
      <c r="E14" s="61">
        <v>13</v>
      </c>
      <c r="F14" s="89">
        <f t="shared" si="1"/>
        <v>9.6474979268168362</v>
      </c>
    </row>
    <row r="15" spans="1:16" x14ac:dyDescent="0.35">
      <c r="A15" s="60" t="s">
        <v>13</v>
      </c>
      <c r="B15" s="61" t="str">
        <f t="shared" si="0"/>
        <v>2006</v>
      </c>
      <c r="C15" s="84">
        <v>16382</v>
      </c>
      <c r="D15" s="63">
        <v>2006</v>
      </c>
      <c r="E15" s="61">
        <v>14</v>
      </c>
      <c r="F15" s="89">
        <f t="shared" si="1"/>
        <v>9.7039384500755475</v>
      </c>
    </row>
    <row r="16" spans="1:16" x14ac:dyDescent="0.35">
      <c r="A16" s="60" t="s">
        <v>14</v>
      </c>
      <c r="B16" s="61" t="str">
        <f t="shared" si="0"/>
        <v>2006</v>
      </c>
      <c r="C16" s="84">
        <v>16252</v>
      </c>
      <c r="D16" s="63">
        <v>2006</v>
      </c>
      <c r="E16" s="61">
        <v>15</v>
      </c>
      <c r="F16" s="89">
        <f t="shared" si="1"/>
        <v>9.6959712571076171</v>
      </c>
    </row>
    <row r="17" spans="1:6" x14ac:dyDescent="0.35">
      <c r="A17" s="60" t="s">
        <v>15</v>
      </c>
      <c r="B17" s="61" t="str">
        <f t="shared" si="0"/>
        <v>2006</v>
      </c>
      <c r="C17" s="84">
        <v>18055</v>
      </c>
      <c r="D17" s="63">
        <v>2006</v>
      </c>
      <c r="E17" s="61">
        <v>16</v>
      </c>
      <c r="F17" s="89">
        <f t="shared" si="1"/>
        <v>9.8011779337115588</v>
      </c>
    </row>
    <row r="18" spans="1:6" x14ac:dyDescent="0.35">
      <c r="A18" s="60" t="s">
        <v>16</v>
      </c>
      <c r="B18" s="61" t="str">
        <f t="shared" si="0"/>
        <v>2007</v>
      </c>
      <c r="C18" s="84">
        <v>16985</v>
      </c>
      <c r="D18" s="63">
        <v>2007</v>
      </c>
      <c r="E18" s="61">
        <v>17</v>
      </c>
      <c r="F18" s="89">
        <f t="shared" si="1"/>
        <v>9.7400858805946839</v>
      </c>
    </row>
    <row r="19" spans="1:6" x14ac:dyDescent="0.35">
      <c r="A19" s="60" t="s">
        <v>17</v>
      </c>
      <c r="B19" s="61" t="str">
        <f t="shared" si="0"/>
        <v>2007</v>
      </c>
      <c r="C19" s="84">
        <v>15822</v>
      </c>
      <c r="D19" s="63">
        <v>2007</v>
      </c>
      <c r="E19" s="61">
        <v>18</v>
      </c>
      <c r="F19" s="89">
        <f t="shared" si="1"/>
        <v>9.6691566555813413</v>
      </c>
    </row>
    <row r="20" spans="1:6" x14ac:dyDescent="0.35">
      <c r="A20" s="60" t="s">
        <v>18</v>
      </c>
      <c r="B20" s="61" t="str">
        <f t="shared" si="0"/>
        <v>2007</v>
      </c>
      <c r="C20" s="84">
        <v>17258</v>
      </c>
      <c r="D20" s="63">
        <v>2007</v>
      </c>
      <c r="E20" s="61">
        <v>19</v>
      </c>
      <c r="F20" s="89">
        <f t="shared" si="1"/>
        <v>9.7560310830682528</v>
      </c>
    </row>
    <row r="21" spans="1:6" x14ac:dyDescent="0.35">
      <c r="A21" s="60" t="s">
        <v>19</v>
      </c>
      <c r="B21" s="61" t="str">
        <f t="shared" si="0"/>
        <v>2007</v>
      </c>
      <c r="C21" s="84">
        <v>16532</v>
      </c>
      <c r="D21" s="63">
        <v>2007</v>
      </c>
      <c r="E21" s="61">
        <v>20</v>
      </c>
      <c r="F21" s="89">
        <f t="shared" si="1"/>
        <v>9.7130531756316234</v>
      </c>
    </row>
    <row r="22" spans="1:6" x14ac:dyDescent="0.35">
      <c r="A22" s="60" t="s">
        <v>178</v>
      </c>
      <c r="B22" s="61" t="str">
        <f t="shared" si="0"/>
        <v>2007</v>
      </c>
      <c r="C22" s="84">
        <v>17279</v>
      </c>
      <c r="D22" s="63">
        <v>2007</v>
      </c>
      <c r="E22" s="61">
        <v>21</v>
      </c>
      <c r="F22" s="89">
        <f t="shared" si="1"/>
        <v>9.7572471703131214</v>
      </c>
    </row>
    <row r="23" spans="1:6" x14ac:dyDescent="0.35">
      <c r="A23" s="60" t="s">
        <v>20</v>
      </c>
      <c r="B23" s="61" t="str">
        <f t="shared" si="0"/>
        <v>2007</v>
      </c>
      <c r="C23" s="84">
        <v>16497</v>
      </c>
      <c r="D23" s="63">
        <v>2007</v>
      </c>
      <c r="E23" s="61">
        <v>22</v>
      </c>
      <c r="F23" s="89">
        <f t="shared" si="1"/>
        <v>9.7109338251759247</v>
      </c>
    </row>
    <row r="24" spans="1:6" x14ac:dyDescent="0.35">
      <c r="A24" s="60" t="s">
        <v>21</v>
      </c>
      <c r="B24" s="61" t="str">
        <f t="shared" si="0"/>
        <v>2007</v>
      </c>
      <c r="C24" s="84">
        <v>16542</v>
      </c>
      <c r="D24" s="63">
        <v>2007</v>
      </c>
      <c r="E24" s="61">
        <v>23</v>
      </c>
      <c r="F24" s="89">
        <f t="shared" si="1"/>
        <v>9.7136578802518514</v>
      </c>
    </row>
    <row r="25" spans="1:6" x14ac:dyDescent="0.35">
      <c r="A25" s="60" t="s">
        <v>22</v>
      </c>
      <c r="B25" s="61" t="str">
        <f t="shared" si="0"/>
        <v>2007</v>
      </c>
      <c r="C25" s="84">
        <v>16992</v>
      </c>
      <c r="D25" s="63">
        <v>2007</v>
      </c>
      <c r="E25" s="61">
        <v>24</v>
      </c>
      <c r="F25" s="89">
        <f t="shared" si="1"/>
        <v>9.7404979240416658</v>
      </c>
    </row>
    <row r="26" spans="1:6" x14ac:dyDescent="0.35">
      <c r="A26" s="60" t="s">
        <v>23</v>
      </c>
      <c r="B26" s="61" t="str">
        <f t="shared" si="0"/>
        <v>2007</v>
      </c>
      <c r="C26" s="84">
        <v>15966</v>
      </c>
      <c r="D26" s="63">
        <v>2007</v>
      </c>
      <c r="E26" s="61">
        <v>25</v>
      </c>
      <c r="F26" s="89">
        <f t="shared" si="1"/>
        <v>9.6782167402057446</v>
      </c>
    </row>
    <row r="27" spans="1:6" x14ac:dyDescent="0.35">
      <c r="A27" s="60" t="s">
        <v>24</v>
      </c>
      <c r="B27" s="61" t="str">
        <f t="shared" si="0"/>
        <v>2007</v>
      </c>
      <c r="C27" s="84">
        <v>17264</v>
      </c>
      <c r="D27" s="63">
        <v>2007</v>
      </c>
      <c r="E27" s="61">
        <v>26</v>
      </c>
      <c r="F27" s="89">
        <f t="shared" si="1"/>
        <v>9.7563786874979161</v>
      </c>
    </row>
    <row r="28" spans="1:6" x14ac:dyDescent="0.35">
      <c r="A28" s="60" t="s">
        <v>25</v>
      </c>
      <c r="B28" s="61" t="str">
        <f t="shared" si="0"/>
        <v>2007</v>
      </c>
      <c r="C28" s="84">
        <v>16713</v>
      </c>
      <c r="D28" s="63">
        <v>2007</v>
      </c>
      <c r="E28" s="61">
        <v>27</v>
      </c>
      <c r="F28" s="89">
        <f t="shared" si="1"/>
        <v>9.7239421386889244</v>
      </c>
    </row>
    <row r="29" spans="1:6" x14ac:dyDescent="0.35">
      <c r="A29" s="60" t="s">
        <v>26</v>
      </c>
      <c r="B29" s="61" t="str">
        <f t="shared" si="0"/>
        <v>2007</v>
      </c>
      <c r="C29" s="84">
        <v>18434</v>
      </c>
      <c r="D29" s="63">
        <v>2007</v>
      </c>
      <c r="E29" s="61">
        <v>28</v>
      </c>
      <c r="F29" s="89">
        <f t="shared" si="1"/>
        <v>9.82195206455361</v>
      </c>
    </row>
    <row r="30" spans="1:6" x14ac:dyDescent="0.35">
      <c r="A30" s="60" t="s">
        <v>27</v>
      </c>
      <c r="B30" s="61" t="str">
        <f t="shared" si="0"/>
        <v>2008</v>
      </c>
      <c r="C30" s="84">
        <v>17449</v>
      </c>
      <c r="D30" s="63">
        <v>2008</v>
      </c>
      <c r="E30" s="61">
        <v>29</v>
      </c>
      <c r="F30" s="89">
        <f t="shared" si="1"/>
        <v>9.7670376193982307</v>
      </c>
    </row>
    <row r="31" spans="1:6" x14ac:dyDescent="0.35">
      <c r="A31" s="60" t="s">
        <v>28</v>
      </c>
      <c r="B31" s="61" t="str">
        <f t="shared" si="0"/>
        <v>2008</v>
      </c>
      <c r="C31" s="84">
        <v>17201</v>
      </c>
      <c r="D31" s="63">
        <v>2008</v>
      </c>
      <c r="E31" s="61">
        <v>30</v>
      </c>
      <c r="F31" s="89">
        <f t="shared" si="1"/>
        <v>9.7527228006463904</v>
      </c>
    </row>
    <row r="32" spans="1:6" x14ac:dyDescent="0.35">
      <c r="A32" s="60" t="s">
        <v>29</v>
      </c>
      <c r="B32" s="61" t="str">
        <f t="shared" si="0"/>
        <v>2008</v>
      </c>
      <c r="C32" s="84">
        <v>17719</v>
      </c>
      <c r="D32" s="63">
        <v>2008</v>
      </c>
      <c r="E32" s="61">
        <v>31</v>
      </c>
      <c r="F32" s="89">
        <f t="shared" si="1"/>
        <v>9.7823927891580702</v>
      </c>
    </row>
    <row r="33" spans="1:6" x14ac:dyDescent="0.35">
      <c r="A33" s="60" t="s">
        <v>30</v>
      </c>
      <c r="B33" s="61" t="str">
        <f t="shared" si="0"/>
        <v>2008</v>
      </c>
      <c r="C33" s="84">
        <v>17143</v>
      </c>
      <c r="D33" s="63">
        <v>2008</v>
      </c>
      <c r="E33" s="61">
        <v>32</v>
      </c>
      <c r="F33" s="89">
        <f t="shared" si="1"/>
        <v>9.7493452060074812</v>
      </c>
    </row>
    <row r="34" spans="1:6" x14ac:dyDescent="0.35">
      <c r="A34" s="60" t="s">
        <v>179</v>
      </c>
      <c r="B34" s="61" t="str">
        <f t="shared" ref="B34:B65" si="2">MID(A34,6,4)</f>
        <v>2008</v>
      </c>
      <c r="C34" s="84">
        <v>17871</v>
      </c>
      <c r="D34" s="63">
        <v>2008</v>
      </c>
      <c r="E34" s="61">
        <v>33</v>
      </c>
      <c r="F34" s="89">
        <f t="shared" si="1"/>
        <v>9.7909345662967979</v>
      </c>
    </row>
    <row r="35" spans="1:6" x14ac:dyDescent="0.35">
      <c r="A35" s="60" t="s">
        <v>31</v>
      </c>
      <c r="B35" s="61" t="str">
        <f t="shared" si="2"/>
        <v>2008</v>
      </c>
      <c r="C35" s="84">
        <v>17038</v>
      </c>
      <c r="D35" s="63">
        <v>2008</v>
      </c>
      <c r="E35" s="61">
        <v>34</v>
      </c>
      <c r="F35" s="89">
        <f t="shared" si="1"/>
        <v>9.7432014226027857</v>
      </c>
    </row>
    <row r="36" spans="1:6" x14ac:dyDescent="0.35">
      <c r="A36" s="60" t="s">
        <v>32</v>
      </c>
      <c r="B36" s="61" t="str">
        <f t="shared" si="2"/>
        <v>2008</v>
      </c>
      <c r="C36" s="84">
        <v>17413</v>
      </c>
      <c r="D36" s="63">
        <v>2008</v>
      </c>
      <c r="E36" s="61">
        <v>35</v>
      </c>
      <c r="F36" s="89">
        <f t="shared" si="1"/>
        <v>9.7649723326793829</v>
      </c>
    </row>
    <row r="37" spans="1:6" x14ac:dyDescent="0.35">
      <c r="A37" s="60" t="s">
        <v>33</v>
      </c>
      <c r="B37" s="61" t="str">
        <f t="shared" si="2"/>
        <v>2008</v>
      </c>
      <c r="C37" s="84">
        <v>17200</v>
      </c>
      <c r="D37" s="63">
        <v>2008</v>
      </c>
      <c r="E37" s="61">
        <v>36</v>
      </c>
      <c r="F37" s="89">
        <f t="shared" si="1"/>
        <v>9.7526646628015445</v>
      </c>
    </row>
    <row r="38" spans="1:6" x14ac:dyDescent="0.35">
      <c r="A38" s="60" t="s">
        <v>34</v>
      </c>
      <c r="B38" s="61" t="str">
        <f t="shared" si="2"/>
        <v>2008</v>
      </c>
      <c r="C38" s="84">
        <v>17176</v>
      </c>
      <c r="D38" s="63">
        <v>2008</v>
      </c>
      <c r="E38" s="61">
        <v>37</v>
      </c>
      <c r="F38" s="89">
        <f t="shared" si="1"/>
        <v>9.7512683395586173</v>
      </c>
    </row>
    <row r="39" spans="1:6" x14ac:dyDescent="0.35">
      <c r="A39" s="60" t="s">
        <v>35</v>
      </c>
      <c r="B39" s="61" t="str">
        <f t="shared" si="2"/>
        <v>2008</v>
      </c>
      <c r="C39" s="84">
        <v>18019</v>
      </c>
      <c r="D39" s="63">
        <v>2008</v>
      </c>
      <c r="E39" s="61">
        <v>38</v>
      </c>
      <c r="F39" s="89">
        <f t="shared" si="1"/>
        <v>9.7991820357268136</v>
      </c>
    </row>
    <row r="40" spans="1:6" x14ac:dyDescent="0.35">
      <c r="A40" s="60" t="s">
        <v>36</v>
      </c>
      <c r="B40" s="61" t="str">
        <f t="shared" si="2"/>
        <v>2008</v>
      </c>
      <c r="C40" s="84">
        <v>16975</v>
      </c>
      <c r="D40" s="63">
        <v>2008</v>
      </c>
      <c r="E40" s="61">
        <v>39</v>
      </c>
      <c r="F40" s="89">
        <f t="shared" si="1"/>
        <v>9.7394969524268973</v>
      </c>
    </row>
    <row r="41" spans="1:6" x14ac:dyDescent="0.35">
      <c r="A41" s="60" t="s">
        <v>37</v>
      </c>
      <c r="B41" s="61" t="str">
        <f t="shared" si="2"/>
        <v>2008</v>
      </c>
      <c r="C41" s="84">
        <v>19653</v>
      </c>
      <c r="D41" s="63">
        <v>2008</v>
      </c>
      <c r="E41" s="61">
        <v>40</v>
      </c>
      <c r="F41" s="89">
        <f t="shared" si="1"/>
        <v>9.8859852773999854</v>
      </c>
    </row>
    <row r="42" spans="1:6" x14ac:dyDescent="0.35">
      <c r="A42" s="60" t="s">
        <v>38</v>
      </c>
      <c r="B42" s="61" t="str">
        <f t="shared" si="2"/>
        <v>2009</v>
      </c>
      <c r="C42" s="84">
        <v>17741</v>
      </c>
      <c r="D42" s="63">
        <v>2009</v>
      </c>
      <c r="E42" s="61">
        <v>41</v>
      </c>
      <c r="F42" s="89">
        <f t="shared" si="1"/>
        <v>9.7836336240606485</v>
      </c>
    </row>
    <row r="43" spans="1:6" x14ac:dyDescent="0.35">
      <c r="A43" s="60" t="s">
        <v>39</v>
      </c>
      <c r="B43" s="61" t="str">
        <f t="shared" si="2"/>
        <v>2009</v>
      </c>
      <c r="C43" s="84">
        <v>17028</v>
      </c>
      <c r="D43" s="63">
        <v>2009</v>
      </c>
      <c r="E43" s="61">
        <v>42</v>
      </c>
      <c r="F43" s="89">
        <f t="shared" si="1"/>
        <v>9.7426143269480434</v>
      </c>
    </row>
    <row r="44" spans="1:6" x14ac:dyDescent="0.35">
      <c r="A44" s="60" t="s">
        <v>40</v>
      </c>
      <c r="B44" s="61" t="str">
        <f t="shared" si="2"/>
        <v>2009</v>
      </c>
      <c r="C44" s="84">
        <v>18501</v>
      </c>
      <c r="D44" s="63">
        <v>2009</v>
      </c>
      <c r="E44" s="61">
        <v>43</v>
      </c>
      <c r="F44" s="89">
        <f t="shared" si="1"/>
        <v>9.8255800636596025</v>
      </c>
    </row>
    <row r="45" spans="1:6" x14ac:dyDescent="0.35">
      <c r="A45" s="60" t="s">
        <v>41</v>
      </c>
      <c r="B45" s="61" t="str">
        <f t="shared" si="2"/>
        <v>2009</v>
      </c>
      <c r="C45" s="84">
        <v>18226</v>
      </c>
      <c r="D45" s="63">
        <v>2009</v>
      </c>
      <c r="E45" s="61">
        <v>44</v>
      </c>
      <c r="F45" s="89">
        <f t="shared" si="1"/>
        <v>9.8106044250560718</v>
      </c>
    </row>
    <row r="46" spans="1:6" x14ac:dyDescent="0.35">
      <c r="A46" s="60" t="s">
        <v>180</v>
      </c>
      <c r="B46" s="61" t="str">
        <f t="shared" si="2"/>
        <v>2009</v>
      </c>
      <c r="C46" s="84">
        <v>18146</v>
      </c>
      <c r="D46" s="63">
        <v>2009</v>
      </c>
      <c r="E46" s="61">
        <v>45</v>
      </c>
      <c r="F46" s="89">
        <f t="shared" si="1"/>
        <v>9.8062054297295749</v>
      </c>
    </row>
    <row r="47" spans="1:6" x14ac:dyDescent="0.35">
      <c r="A47" s="60" t="s">
        <v>42</v>
      </c>
      <c r="B47" s="61" t="str">
        <f t="shared" si="2"/>
        <v>2009</v>
      </c>
      <c r="C47" s="84">
        <v>17944</v>
      </c>
      <c r="D47" s="63">
        <v>2009</v>
      </c>
      <c r="E47" s="61">
        <v>46</v>
      </c>
      <c r="F47" s="89">
        <f t="shared" si="1"/>
        <v>9.7950110762000442</v>
      </c>
    </row>
    <row r="48" spans="1:6" x14ac:dyDescent="0.35">
      <c r="A48" s="60" t="s">
        <v>43</v>
      </c>
      <c r="B48" s="61" t="str">
        <f t="shared" si="2"/>
        <v>2009</v>
      </c>
      <c r="C48" s="84">
        <v>17957</v>
      </c>
      <c r="D48" s="63">
        <v>2009</v>
      </c>
      <c r="E48" s="61">
        <v>47</v>
      </c>
      <c r="F48" s="89">
        <f t="shared" si="1"/>
        <v>9.7957352900418986</v>
      </c>
    </row>
    <row r="49" spans="1:6" x14ac:dyDescent="0.35">
      <c r="A49" s="60" t="s">
        <v>44</v>
      </c>
      <c r="B49" s="61" t="str">
        <f t="shared" si="2"/>
        <v>2009</v>
      </c>
      <c r="C49" s="84">
        <v>17604</v>
      </c>
      <c r="D49" s="63">
        <v>2009</v>
      </c>
      <c r="E49" s="61">
        <v>48</v>
      </c>
      <c r="F49" s="89">
        <f t="shared" si="1"/>
        <v>9.7758814279309814</v>
      </c>
    </row>
    <row r="50" spans="1:6" x14ac:dyDescent="0.35">
      <c r="A50" s="60" t="s">
        <v>45</v>
      </c>
      <c r="B50" s="61" t="str">
        <f t="shared" si="2"/>
        <v>2009</v>
      </c>
      <c r="C50" s="84">
        <v>17770</v>
      </c>
      <c r="D50" s="63">
        <v>2009</v>
      </c>
      <c r="E50" s="61">
        <v>49</v>
      </c>
      <c r="F50" s="89">
        <f t="shared" si="1"/>
        <v>9.7852669211486969</v>
      </c>
    </row>
    <row r="51" spans="1:6" x14ac:dyDescent="0.35">
      <c r="A51" s="60" t="s">
        <v>46</v>
      </c>
      <c r="B51" s="61" t="str">
        <f t="shared" si="2"/>
        <v>2009</v>
      </c>
      <c r="C51" s="84">
        <v>18492</v>
      </c>
      <c r="D51" s="63">
        <v>2009</v>
      </c>
      <c r="E51" s="61">
        <v>50</v>
      </c>
      <c r="F51" s="89">
        <f t="shared" si="1"/>
        <v>9.8250934851081162</v>
      </c>
    </row>
    <row r="52" spans="1:6" x14ac:dyDescent="0.35">
      <c r="A52" s="60" t="s">
        <v>47</v>
      </c>
      <c r="B52" s="61" t="str">
        <f t="shared" si="2"/>
        <v>2009</v>
      </c>
      <c r="C52" s="84">
        <v>17784</v>
      </c>
      <c r="D52" s="63">
        <v>2009</v>
      </c>
      <c r="E52" s="61">
        <v>51</v>
      </c>
      <c r="F52" s="89">
        <f t="shared" si="1"/>
        <v>9.7860544556440328</v>
      </c>
    </row>
    <row r="53" spans="1:6" x14ac:dyDescent="0.35">
      <c r="A53" s="60" t="s">
        <v>48</v>
      </c>
      <c r="B53" s="61" t="str">
        <f t="shared" si="2"/>
        <v>2009</v>
      </c>
      <c r="C53" s="84">
        <v>20067</v>
      </c>
      <c r="D53" s="63">
        <v>2009</v>
      </c>
      <c r="E53" s="61">
        <v>52</v>
      </c>
      <c r="F53" s="89">
        <f t="shared" si="1"/>
        <v>9.9068319537865186</v>
      </c>
    </row>
    <row r="54" spans="1:6" x14ac:dyDescent="0.35">
      <c r="A54" s="65" t="s">
        <v>49</v>
      </c>
      <c r="B54" s="61" t="str">
        <f t="shared" si="2"/>
        <v>2010</v>
      </c>
      <c r="C54" s="85">
        <v>17874</v>
      </c>
      <c r="D54" s="63">
        <v>2010</v>
      </c>
      <c r="E54" s="61">
        <v>53</v>
      </c>
      <c r="F54" s="89">
        <f t="shared" si="1"/>
        <v>9.7911024219413374</v>
      </c>
    </row>
    <row r="55" spans="1:6" x14ac:dyDescent="0.35">
      <c r="A55" s="65" t="s">
        <v>50</v>
      </c>
      <c r="B55" s="61" t="str">
        <f t="shared" si="2"/>
        <v>2010</v>
      </c>
      <c r="C55" s="85">
        <v>17171</v>
      </c>
      <c r="D55" s="63">
        <v>2010</v>
      </c>
      <c r="E55" s="61">
        <v>54</v>
      </c>
      <c r="F55" s="89">
        <f t="shared" si="1"/>
        <v>9.750977193313803</v>
      </c>
    </row>
    <row r="56" spans="1:6" x14ac:dyDescent="0.35">
      <c r="A56" s="65" t="s">
        <v>51</v>
      </c>
      <c r="B56" s="61" t="str">
        <f t="shared" si="2"/>
        <v>2010</v>
      </c>
      <c r="C56" s="85">
        <v>19214</v>
      </c>
      <c r="D56" s="63">
        <v>2010</v>
      </c>
      <c r="E56" s="61">
        <v>55</v>
      </c>
      <c r="F56" s="89">
        <f t="shared" si="1"/>
        <v>9.8633944589696831</v>
      </c>
    </row>
    <row r="57" spans="1:6" x14ac:dyDescent="0.35">
      <c r="A57" s="65" t="s">
        <v>52</v>
      </c>
      <c r="B57" s="61" t="str">
        <f t="shared" si="2"/>
        <v>2010</v>
      </c>
      <c r="C57" s="85">
        <v>18340</v>
      </c>
      <c r="D57" s="63">
        <v>2010</v>
      </c>
      <c r="E57" s="61">
        <v>56</v>
      </c>
      <c r="F57" s="89">
        <f t="shared" si="1"/>
        <v>9.816839745810455</v>
      </c>
    </row>
    <row r="58" spans="1:6" x14ac:dyDescent="0.35">
      <c r="A58" s="67" t="s">
        <v>181</v>
      </c>
      <c r="B58" s="61" t="str">
        <f t="shared" si="2"/>
        <v>2010</v>
      </c>
      <c r="C58" s="85">
        <v>18295</v>
      </c>
      <c r="D58" s="63">
        <v>2010</v>
      </c>
      <c r="E58" s="61">
        <v>57</v>
      </c>
      <c r="F58" s="89">
        <f t="shared" si="1"/>
        <v>9.8143830774533072</v>
      </c>
    </row>
    <row r="59" spans="1:6" x14ac:dyDescent="0.35">
      <c r="A59" s="65" t="s">
        <v>53</v>
      </c>
      <c r="B59" s="61" t="str">
        <f t="shared" si="2"/>
        <v>2010</v>
      </c>
      <c r="C59" s="85">
        <v>18372</v>
      </c>
      <c r="D59" s="63">
        <v>2010</v>
      </c>
      <c r="E59" s="61">
        <v>58</v>
      </c>
      <c r="F59" s="89">
        <f t="shared" si="1"/>
        <v>9.8185830454456848</v>
      </c>
    </row>
    <row r="60" spans="1:6" x14ac:dyDescent="0.35">
      <c r="A60" s="65" t="s">
        <v>54</v>
      </c>
      <c r="B60" s="61" t="str">
        <f t="shared" si="2"/>
        <v>2010</v>
      </c>
      <c r="C60" s="85">
        <v>18170</v>
      </c>
      <c r="D60" s="63">
        <v>2010</v>
      </c>
      <c r="E60" s="61">
        <v>59</v>
      </c>
      <c r="F60" s="89">
        <f t="shared" si="1"/>
        <v>9.8075271613902171</v>
      </c>
    </row>
    <row r="61" spans="1:6" x14ac:dyDescent="0.35">
      <c r="A61" s="65" t="s">
        <v>55</v>
      </c>
      <c r="B61" s="61" t="str">
        <f t="shared" si="2"/>
        <v>2010</v>
      </c>
      <c r="C61" s="85">
        <v>18328</v>
      </c>
      <c r="D61" s="63">
        <v>2010</v>
      </c>
      <c r="E61" s="61">
        <v>60</v>
      </c>
      <c r="F61" s="89">
        <f t="shared" si="1"/>
        <v>9.8161852241333314</v>
      </c>
    </row>
    <row r="62" spans="1:6" x14ac:dyDescent="0.35">
      <c r="A62" s="65" t="s">
        <v>56</v>
      </c>
      <c r="B62" s="61" t="str">
        <f t="shared" si="2"/>
        <v>2010</v>
      </c>
      <c r="C62" s="85">
        <v>18124</v>
      </c>
      <c r="D62" s="63">
        <v>2010</v>
      </c>
      <c r="E62" s="61">
        <v>61</v>
      </c>
      <c r="F62" s="89">
        <f t="shared" si="1"/>
        <v>9.8049923057870281</v>
      </c>
    </row>
    <row r="63" spans="1:6" x14ac:dyDescent="0.35">
      <c r="A63" s="65" t="s">
        <v>57</v>
      </c>
      <c r="B63" s="61" t="str">
        <f t="shared" si="2"/>
        <v>2010</v>
      </c>
      <c r="C63" s="85">
        <v>18611</v>
      </c>
      <c r="D63" s="63">
        <v>2010</v>
      </c>
      <c r="E63" s="61">
        <v>62</v>
      </c>
      <c r="F63" s="89">
        <f t="shared" si="1"/>
        <v>9.831508082743964</v>
      </c>
    </row>
    <row r="64" spans="1:6" x14ac:dyDescent="0.35">
      <c r="A64" s="65" t="s">
        <v>58</v>
      </c>
      <c r="B64" s="61" t="str">
        <f t="shared" si="2"/>
        <v>2010</v>
      </c>
      <c r="C64" s="85">
        <v>18724</v>
      </c>
      <c r="D64" s="63">
        <v>2010</v>
      </c>
      <c r="E64" s="61">
        <v>63</v>
      </c>
      <c r="F64" s="89">
        <f t="shared" si="1"/>
        <v>9.8375614024199614</v>
      </c>
    </row>
    <row r="65" spans="1:6" x14ac:dyDescent="0.35">
      <c r="A65" s="65" t="s">
        <v>59</v>
      </c>
      <c r="B65" s="61" t="str">
        <f t="shared" si="2"/>
        <v>2010</v>
      </c>
      <c r="C65" s="85">
        <v>21007</v>
      </c>
      <c r="D65" s="63">
        <v>2010</v>
      </c>
      <c r="E65" s="61">
        <v>64</v>
      </c>
      <c r="F65" s="89">
        <f t="shared" si="1"/>
        <v>9.9526109944956804</v>
      </c>
    </row>
    <row r="66" spans="1:6" x14ac:dyDescent="0.35">
      <c r="A66" s="65" t="s">
        <v>60</v>
      </c>
      <c r="B66" s="61" t="str">
        <f t="shared" ref="B66:B97" si="3">MID(A66,6,4)</f>
        <v>2011</v>
      </c>
      <c r="C66" s="85">
        <v>19155</v>
      </c>
      <c r="D66" s="63">
        <v>2011</v>
      </c>
      <c r="E66" s="61">
        <v>65</v>
      </c>
      <c r="F66" s="89">
        <f t="shared" si="1"/>
        <v>9.860319057134749</v>
      </c>
    </row>
    <row r="67" spans="1:6" x14ac:dyDescent="0.35">
      <c r="A67" s="65" t="s">
        <v>61</v>
      </c>
      <c r="B67" s="61" t="str">
        <f t="shared" si="3"/>
        <v>2011</v>
      </c>
      <c r="C67" s="85">
        <v>18117</v>
      </c>
      <c r="D67" s="63">
        <v>2011</v>
      </c>
      <c r="E67" s="61">
        <v>66</v>
      </c>
      <c r="F67" s="89">
        <f t="shared" ref="F67:F130" si="4">LN(C67)</f>
        <v>9.8046060029760103</v>
      </c>
    </row>
    <row r="68" spans="1:6" x14ac:dyDescent="0.35">
      <c r="A68" s="65" t="s">
        <v>62</v>
      </c>
      <c r="B68" s="61" t="str">
        <f t="shared" si="3"/>
        <v>2011</v>
      </c>
      <c r="C68" s="85">
        <v>20042</v>
      </c>
      <c r="D68" s="63">
        <v>2011</v>
      </c>
      <c r="E68" s="61">
        <v>67</v>
      </c>
      <c r="F68" s="89">
        <f t="shared" si="4"/>
        <v>9.9055853506182743</v>
      </c>
    </row>
    <row r="69" spans="1:6" x14ac:dyDescent="0.35">
      <c r="A69" s="65" t="s">
        <v>63</v>
      </c>
      <c r="B69" s="61" t="str">
        <f t="shared" si="3"/>
        <v>2011</v>
      </c>
      <c r="C69" s="85">
        <v>18944</v>
      </c>
      <c r="D69" s="63">
        <v>2011</v>
      </c>
      <c r="E69" s="61">
        <v>68</v>
      </c>
      <c r="F69" s="89">
        <f t="shared" si="4"/>
        <v>9.8492425376837325</v>
      </c>
    </row>
    <row r="70" spans="1:6" x14ac:dyDescent="0.35">
      <c r="A70" s="67" t="s">
        <v>182</v>
      </c>
      <c r="B70" s="61" t="str">
        <f t="shared" si="3"/>
        <v>2011</v>
      </c>
      <c r="C70" s="85">
        <v>19505</v>
      </c>
      <c r="D70" s="63">
        <v>2011</v>
      </c>
      <c r="E70" s="61">
        <v>69</v>
      </c>
      <c r="F70" s="89">
        <f t="shared" si="4"/>
        <v>9.8784261219407572</v>
      </c>
    </row>
    <row r="71" spans="1:6" x14ac:dyDescent="0.35">
      <c r="A71" s="65" t="s">
        <v>64</v>
      </c>
      <c r="B71" s="61" t="str">
        <f t="shared" si="3"/>
        <v>2011</v>
      </c>
      <c r="C71" s="85">
        <v>19081</v>
      </c>
      <c r="D71" s="63">
        <v>2011</v>
      </c>
      <c r="E71" s="61">
        <v>70</v>
      </c>
      <c r="F71" s="89">
        <f t="shared" si="4"/>
        <v>9.8564483545303414</v>
      </c>
    </row>
    <row r="72" spans="1:6" x14ac:dyDescent="0.35">
      <c r="A72" s="65" t="s">
        <v>65</v>
      </c>
      <c r="B72" s="61" t="str">
        <f t="shared" si="3"/>
        <v>2011</v>
      </c>
      <c r="C72" s="85">
        <v>18541</v>
      </c>
      <c r="D72" s="63">
        <v>2011</v>
      </c>
      <c r="E72" s="61">
        <v>71</v>
      </c>
      <c r="F72" s="89">
        <f t="shared" si="4"/>
        <v>9.8277397750978537</v>
      </c>
    </row>
    <row r="73" spans="1:6" x14ac:dyDescent="0.35">
      <c r="A73" s="65" t="s">
        <v>66</v>
      </c>
      <c r="B73" s="61" t="str">
        <f t="shared" si="3"/>
        <v>2011</v>
      </c>
      <c r="C73" s="85">
        <v>19481</v>
      </c>
      <c r="D73" s="63">
        <v>2011</v>
      </c>
      <c r="E73" s="61">
        <v>72</v>
      </c>
      <c r="F73" s="89">
        <f t="shared" si="4"/>
        <v>9.8771949105812045</v>
      </c>
    </row>
    <row r="74" spans="1:6" x14ac:dyDescent="0.35">
      <c r="A74" s="65" t="s">
        <v>67</v>
      </c>
      <c r="B74" s="61" t="str">
        <f t="shared" si="3"/>
        <v>2011</v>
      </c>
      <c r="C74" s="85">
        <v>18845</v>
      </c>
      <c r="D74" s="63">
        <v>2011</v>
      </c>
      <c r="E74" s="61">
        <v>73</v>
      </c>
      <c r="F74" s="89">
        <f t="shared" si="4"/>
        <v>9.8440029057012364</v>
      </c>
    </row>
    <row r="75" spans="1:6" x14ac:dyDescent="0.35">
      <c r="A75" s="65" t="s">
        <v>68</v>
      </c>
      <c r="B75" s="61" t="str">
        <f t="shared" si="3"/>
        <v>2011</v>
      </c>
      <c r="C75" s="85">
        <v>19302</v>
      </c>
      <c r="D75" s="63">
        <v>2011</v>
      </c>
      <c r="E75" s="61">
        <v>74</v>
      </c>
      <c r="F75" s="89">
        <f t="shared" si="4"/>
        <v>9.8679639964670809</v>
      </c>
    </row>
    <row r="76" spans="1:6" x14ac:dyDescent="0.35">
      <c r="A76" s="65" t="s">
        <v>69</v>
      </c>
      <c r="B76" s="61" t="str">
        <f t="shared" si="3"/>
        <v>2011</v>
      </c>
      <c r="C76" s="85">
        <v>19103</v>
      </c>
      <c r="D76" s="63">
        <v>2011</v>
      </c>
      <c r="E76" s="61">
        <v>75</v>
      </c>
      <c r="F76" s="89">
        <f t="shared" si="4"/>
        <v>9.8576006697636522</v>
      </c>
    </row>
    <row r="77" spans="1:6" x14ac:dyDescent="0.35">
      <c r="A77" s="65" t="s">
        <v>70</v>
      </c>
      <c r="B77" s="61" t="str">
        <f t="shared" si="3"/>
        <v>2011</v>
      </c>
      <c r="C77" s="85">
        <v>21133</v>
      </c>
      <c r="D77" s="63">
        <v>2011</v>
      </c>
      <c r="E77" s="61">
        <v>76</v>
      </c>
      <c r="F77" s="89">
        <f t="shared" si="4"/>
        <v>9.9585910787621525</v>
      </c>
    </row>
    <row r="78" spans="1:6" x14ac:dyDescent="0.35">
      <c r="A78" s="65" t="s">
        <v>71</v>
      </c>
      <c r="B78" s="61" t="str">
        <f t="shared" si="3"/>
        <v>2012</v>
      </c>
      <c r="C78" s="85">
        <v>19401</v>
      </c>
      <c r="D78" s="63">
        <v>2012</v>
      </c>
      <c r="E78" s="61">
        <v>77</v>
      </c>
      <c r="F78" s="89">
        <f t="shared" si="4"/>
        <v>9.8730798901147026</v>
      </c>
    </row>
    <row r="79" spans="1:6" x14ac:dyDescent="0.35">
      <c r="A79" s="65" t="s">
        <v>72</v>
      </c>
      <c r="B79" s="61" t="str">
        <f t="shared" si="3"/>
        <v>2012</v>
      </c>
      <c r="C79" s="85">
        <v>19056</v>
      </c>
      <c r="D79" s="63">
        <v>2012</v>
      </c>
      <c r="E79" s="61">
        <v>78</v>
      </c>
      <c r="F79" s="89">
        <f t="shared" si="4"/>
        <v>9.8551372915950815</v>
      </c>
    </row>
    <row r="80" spans="1:6" x14ac:dyDescent="0.35">
      <c r="A80" s="65" t="s">
        <v>73</v>
      </c>
      <c r="B80" s="61" t="str">
        <f t="shared" si="3"/>
        <v>2012</v>
      </c>
      <c r="C80" s="85">
        <v>19943</v>
      </c>
      <c r="D80" s="63">
        <v>2012</v>
      </c>
      <c r="E80" s="61">
        <v>79</v>
      </c>
      <c r="F80" s="89">
        <f t="shared" si="4"/>
        <v>9.9006334835532215</v>
      </c>
    </row>
    <row r="81" spans="1:6" x14ac:dyDescent="0.35">
      <c r="A81" s="65" t="s">
        <v>74</v>
      </c>
      <c r="B81" s="61" t="str">
        <f t="shared" si="3"/>
        <v>2012</v>
      </c>
      <c r="C81" s="85">
        <v>19050</v>
      </c>
      <c r="D81" s="63">
        <v>2012</v>
      </c>
      <c r="E81" s="61">
        <v>80</v>
      </c>
      <c r="F81" s="89">
        <f t="shared" si="4"/>
        <v>9.8548223805548467</v>
      </c>
    </row>
    <row r="82" spans="1:6" x14ac:dyDescent="0.35">
      <c r="A82" s="67" t="s">
        <v>183</v>
      </c>
      <c r="B82" s="61" t="str">
        <f t="shared" si="3"/>
        <v>2012</v>
      </c>
      <c r="C82" s="85">
        <v>19701</v>
      </c>
      <c r="D82" s="63">
        <v>2012</v>
      </c>
      <c r="E82" s="61">
        <v>81</v>
      </c>
      <c r="F82" s="89">
        <f t="shared" si="4"/>
        <v>9.8884246748590829</v>
      </c>
    </row>
    <row r="83" spans="1:6" x14ac:dyDescent="0.35">
      <c r="A83" s="65" t="s">
        <v>75</v>
      </c>
      <c r="B83" s="61" t="str">
        <f t="shared" si="3"/>
        <v>2012</v>
      </c>
      <c r="C83" s="85">
        <v>18426</v>
      </c>
      <c r="D83" s="63">
        <v>2012</v>
      </c>
      <c r="E83" s="61">
        <v>82</v>
      </c>
      <c r="F83" s="89">
        <f t="shared" si="4"/>
        <v>9.8215179896688767</v>
      </c>
    </row>
    <row r="84" spans="1:6" x14ac:dyDescent="0.35">
      <c r="A84" s="65" t="s">
        <v>76</v>
      </c>
      <c r="B84" s="61" t="str">
        <f t="shared" si="3"/>
        <v>2012</v>
      </c>
      <c r="C84" s="85">
        <v>18559</v>
      </c>
      <c r="D84" s="63">
        <v>2012</v>
      </c>
      <c r="E84" s="61">
        <v>83</v>
      </c>
      <c r="F84" s="89">
        <f t="shared" si="4"/>
        <v>9.8287101255783043</v>
      </c>
    </row>
    <row r="85" spans="1:6" x14ac:dyDescent="0.35">
      <c r="A85" s="65" t="s">
        <v>77</v>
      </c>
      <c r="B85" s="61" t="str">
        <f t="shared" si="3"/>
        <v>2012</v>
      </c>
      <c r="C85" s="85">
        <v>19168</v>
      </c>
      <c r="D85" s="63">
        <v>2012</v>
      </c>
      <c r="E85" s="61">
        <v>84</v>
      </c>
      <c r="F85" s="89">
        <f t="shared" si="4"/>
        <v>9.8609975009151754</v>
      </c>
    </row>
    <row r="86" spans="1:6" x14ac:dyDescent="0.35">
      <c r="A86" s="65" t="s">
        <v>78</v>
      </c>
      <c r="B86" s="61" t="str">
        <f t="shared" si="3"/>
        <v>2012</v>
      </c>
      <c r="C86" s="85">
        <v>17847</v>
      </c>
      <c r="D86" s="63">
        <v>2012</v>
      </c>
      <c r="E86" s="61">
        <v>85</v>
      </c>
      <c r="F86" s="89">
        <f t="shared" si="4"/>
        <v>9.7895907058560159</v>
      </c>
    </row>
    <row r="87" spans="1:6" x14ac:dyDescent="0.35">
      <c r="A87" s="65" t="s">
        <v>79</v>
      </c>
      <c r="B87" s="61" t="str">
        <f t="shared" si="3"/>
        <v>2012</v>
      </c>
      <c r="C87" s="85">
        <v>19468</v>
      </c>
      <c r="D87" s="63">
        <v>2012</v>
      </c>
      <c r="E87" s="61">
        <v>86</v>
      </c>
      <c r="F87" s="89">
        <f t="shared" si="4"/>
        <v>9.8765273709533457</v>
      </c>
    </row>
    <row r="88" spans="1:6" x14ac:dyDescent="0.35">
      <c r="A88" s="65" t="s">
        <v>80</v>
      </c>
      <c r="B88" s="61" t="str">
        <f t="shared" si="3"/>
        <v>2012</v>
      </c>
      <c r="C88" s="85">
        <v>18700</v>
      </c>
      <c r="D88" s="63">
        <v>2012</v>
      </c>
      <c r="E88" s="61">
        <v>87</v>
      </c>
      <c r="F88" s="89">
        <f t="shared" si="4"/>
        <v>9.8362788028426777</v>
      </c>
    </row>
    <row r="89" spans="1:6" x14ac:dyDescent="0.35">
      <c r="A89" s="65" t="s">
        <v>81</v>
      </c>
      <c r="B89" s="61" t="str">
        <f t="shared" si="3"/>
        <v>2012</v>
      </c>
      <c r="C89" s="85">
        <v>20632</v>
      </c>
      <c r="D89" s="63">
        <v>2012</v>
      </c>
      <c r="E89" s="61">
        <v>88</v>
      </c>
      <c r="F89" s="89">
        <f t="shared" si="4"/>
        <v>9.9345985475611815</v>
      </c>
    </row>
    <row r="90" spans="1:6" x14ac:dyDescent="0.35">
      <c r="A90" s="68" t="s">
        <v>82</v>
      </c>
      <c r="B90" s="61" t="str">
        <f t="shared" si="3"/>
        <v>2013</v>
      </c>
      <c r="C90" s="86">
        <v>19826</v>
      </c>
      <c r="D90" s="63">
        <v>2013</v>
      </c>
      <c r="E90" s="61">
        <v>89</v>
      </c>
      <c r="F90" s="89">
        <f t="shared" si="4"/>
        <v>9.8947494865928434</v>
      </c>
    </row>
    <row r="91" spans="1:6" x14ac:dyDescent="0.35">
      <c r="A91" s="68" t="s">
        <v>83</v>
      </c>
      <c r="B91" s="61" t="str">
        <f t="shared" si="3"/>
        <v>2013</v>
      </c>
      <c r="C91" s="86">
        <v>18221</v>
      </c>
      <c r="D91" s="63">
        <v>2013</v>
      </c>
      <c r="E91" s="61">
        <v>90</v>
      </c>
      <c r="F91" s="89">
        <f t="shared" si="4"/>
        <v>9.8103300540498779</v>
      </c>
    </row>
    <row r="92" spans="1:6" x14ac:dyDescent="0.35">
      <c r="A92" s="68" t="s">
        <v>84</v>
      </c>
      <c r="B92" s="61" t="str">
        <f t="shared" si="3"/>
        <v>2013</v>
      </c>
      <c r="C92" s="86">
        <v>19625</v>
      </c>
      <c r="D92" s="63">
        <v>2013</v>
      </c>
      <c r="E92" s="61">
        <v>91</v>
      </c>
      <c r="F92" s="89">
        <f t="shared" si="4"/>
        <v>9.8845595426506083</v>
      </c>
    </row>
    <row r="93" spans="1:6" x14ac:dyDescent="0.35">
      <c r="A93" s="68" t="s">
        <v>85</v>
      </c>
      <c r="B93" s="61" t="str">
        <f t="shared" si="3"/>
        <v>2013</v>
      </c>
      <c r="C93" s="86">
        <v>19168</v>
      </c>
      <c r="D93" s="63">
        <v>2013</v>
      </c>
      <c r="E93" s="61">
        <v>92</v>
      </c>
      <c r="F93" s="89">
        <f t="shared" si="4"/>
        <v>9.8609975009151754</v>
      </c>
    </row>
    <row r="94" spans="1:6" x14ac:dyDescent="0.35">
      <c r="A94" s="70" t="s">
        <v>86</v>
      </c>
      <c r="B94" s="61" t="str">
        <f t="shared" si="3"/>
        <v>2013</v>
      </c>
      <c r="C94" s="86">
        <v>19806</v>
      </c>
      <c r="D94" s="63">
        <v>2013</v>
      </c>
      <c r="E94" s="61">
        <v>93</v>
      </c>
      <c r="F94" s="89">
        <f t="shared" si="4"/>
        <v>9.8937402010812487</v>
      </c>
    </row>
    <row r="95" spans="1:6" x14ac:dyDescent="0.35">
      <c r="A95" s="68" t="s">
        <v>87</v>
      </c>
      <c r="B95" s="61" t="str">
        <f t="shared" si="3"/>
        <v>2013</v>
      </c>
      <c r="C95" s="86">
        <v>18547</v>
      </c>
      <c r="D95" s="63">
        <v>2013</v>
      </c>
      <c r="E95" s="61">
        <v>94</v>
      </c>
      <c r="F95" s="89">
        <f t="shared" si="4"/>
        <v>9.8280633298892877</v>
      </c>
    </row>
    <row r="96" spans="1:6" x14ac:dyDescent="0.35">
      <c r="A96" s="68" t="s">
        <v>88</v>
      </c>
      <c r="B96" s="61" t="str">
        <f t="shared" si="3"/>
        <v>2013</v>
      </c>
      <c r="C96" s="86">
        <v>19470</v>
      </c>
      <c r="D96" s="63">
        <v>2013</v>
      </c>
      <c r="E96" s="61">
        <v>95</v>
      </c>
      <c r="F96" s="89">
        <f t="shared" si="4"/>
        <v>9.8766300983662454</v>
      </c>
    </row>
    <row r="97" spans="1:6" x14ac:dyDescent="0.35">
      <c r="A97" s="68" t="s">
        <v>89</v>
      </c>
      <c r="B97" s="61" t="str">
        <f t="shared" si="3"/>
        <v>2013</v>
      </c>
      <c r="C97" s="86">
        <v>19562</v>
      </c>
      <c r="D97" s="63">
        <v>2013</v>
      </c>
      <c r="E97" s="61">
        <v>96</v>
      </c>
      <c r="F97" s="89">
        <f t="shared" si="4"/>
        <v>9.8813441878504378</v>
      </c>
    </row>
    <row r="98" spans="1:6" x14ac:dyDescent="0.35">
      <c r="A98" s="68" t="s">
        <v>90</v>
      </c>
      <c r="B98" s="61" t="str">
        <f t="shared" ref="B98:B129" si="5">MID(A98,6,4)</f>
        <v>2013</v>
      </c>
      <c r="C98" s="86">
        <v>19217</v>
      </c>
      <c r="D98" s="63">
        <v>2013</v>
      </c>
      <c r="E98" s="61">
        <v>97</v>
      </c>
      <c r="F98" s="89">
        <f t="shared" si="4"/>
        <v>9.8635505829324277</v>
      </c>
    </row>
    <row r="99" spans="1:6" x14ac:dyDescent="0.35">
      <c r="A99" s="68" t="s">
        <v>91</v>
      </c>
      <c r="B99" s="61" t="str">
        <f t="shared" si="5"/>
        <v>2013</v>
      </c>
      <c r="C99" s="86">
        <v>20478</v>
      </c>
      <c r="D99" s="63">
        <v>2013</v>
      </c>
      <c r="E99" s="61">
        <v>98</v>
      </c>
      <c r="F99" s="89">
        <f t="shared" si="4"/>
        <v>9.9271064181347626</v>
      </c>
    </row>
    <row r="100" spans="1:6" x14ac:dyDescent="0.35">
      <c r="A100" s="68" t="s">
        <v>92</v>
      </c>
      <c r="B100" s="61" t="str">
        <f t="shared" si="5"/>
        <v>2013</v>
      </c>
      <c r="C100" s="86">
        <v>19554</v>
      </c>
      <c r="D100" s="63">
        <v>2013</v>
      </c>
      <c r="E100" s="61">
        <v>99</v>
      </c>
      <c r="F100" s="89">
        <f t="shared" si="4"/>
        <v>9.8809351480656158</v>
      </c>
    </row>
    <row r="101" spans="1:6" x14ac:dyDescent="0.35">
      <c r="A101" s="68" t="s">
        <v>93</v>
      </c>
      <c r="B101" s="61" t="str">
        <f t="shared" si="5"/>
        <v>2013</v>
      </c>
      <c r="C101" s="86">
        <v>22074</v>
      </c>
      <c r="D101" s="63">
        <v>2013</v>
      </c>
      <c r="E101" s="61">
        <v>100</v>
      </c>
      <c r="F101" s="89">
        <f t="shared" si="4"/>
        <v>10.002155724332829</v>
      </c>
    </row>
    <row r="102" spans="1:6" x14ac:dyDescent="0.35">
      <c r="A102" s="68" t="s">
        <v>94</v>
      </c>
      <c r="B102" s="61" t="str">
        <f t="shared" si="5"/>
        <v>2014</v>
      </c>
      <c r="C102" s="86">
        <v>20634</v>
      </c>
      <c r="D102" s="63">
        <v>2014</v>
      </c>
      <c r="E102" s="61">
        <v>101</v>
      </c>
      <c r="F102" s="89">
        <f t="shared" si="4"/>
        <v>9.9346954796603217</v>
      </c>
    </row>
    <row r="103" spans="1:6" x14ac:dyDescent="0.35">
      <c r="A103" s="68" t="s">
        <v>95</v>
      </c>
      <c r="B103" s="61" t="str">
        <f t="shared" si="5"/>
        <v>2014</v>
      </c>
      <c r="C103" s="86">
        <v>19140</v>
      </c>
      <c r="D103" s="63">
        <v>2014</v>
      </c>
      <c r="E103" s="61">
        <v>102</v>
      </c>
      <c r="F103" s="89">
        <f t="shared" si="4"/>
        <v>9.8595356650069448</v>
      </c>
    </row>
    <row r="104" spans="1:6" x14ac:dyDescent="0.35">
      <c r="A104" s="68" t="s">
        <v>96</v>
      </c>
      <c r="B104" s="61" t="str">
        <f t="shared" si="5"/>
        <v>2014</v>
      </c>
      <c r="C104" s="86">
        <v>20488</v>
      </c>
      <c r="D104" s="63">
        <v>2014</v>
      </c>
      <c r="E104" s="61">
        <v>103</v>
      </c>
      <c r="F104" s="89">
        <f t="shared" si="4"/>
        <v>9.9275946278793619</v>
      </c>
    </row>
    <row r="105" spans="1:6" x14ac:dyDescent="0.35">
      <c r="A105" s="68" t="s">
        <v>97</v>
      </c>
      <c r="B105" s="61" t="str">
        <f t="shared" si="5"/>
        <v>2014</v>
      </c>
      <c r="C105" s="86">
        <v>20621</v>
      </c>
      <c r="D105" s="63">
        <v>2014</v>
      </c>
      <c r="E105" s="61">
        <v>104</v>
      </c>
      <c r="F105" s="89">
        <f t="shared" si="4"/>
        <v>9.9340652530002664</v>
      </c>
    </row>
    <row r="106" spans="1:6" x14ac:dyDescent="0.35">
      <c r="A106" s="70" t="s">
        <v>98</v>
      </c>
      <c r="B106" s="61" t="str">
        <f t="shared" si="5"/>
        <v>2014</v>
      </c>
      <c r="C106" s="86">
        <v>21069</v>
      </c>
      <c r="D106" s="63">
        <v>2014</v>
      </c>
      <c r="E106" s="61">
        <v>105</v>
      </c>
      <c r="F106" s="89">
        <f t="shared" si="4"/>
        <v>9.9555580448271304</v>
      </c>
    </row>
    <row r="107" spans="1:6" x14ac:dyDescent="0.35">
      <c r="A107" s="68" t="s">
        <v>99</v>
      </c>
      <c r="B107" s="61" t="str">
        <f t="shared" si="5"/>
        <v>2014</v>
      </c>
      <c r="C107" s="86">
        <v>20421</v>
      </c>
      <c r="D107" s="63">
        <v>2014</v>
      </c>
      <c r="E107" s="61">
        <v>106</v>
      </c>
      <c r="F107" s="89">
        <f t="shared" si="4"/>
        <v>9.9243190621160604</v>
      </c>
    </row>
    <row r="108" spans="1:6" x14ac:dyDescent="0.35">
      <c r="A108" s="68" t="s">
        <v>100</v>
      </c>
      <c r="B108" s="61" t="str">
        <f t="shared" si="5"/>
        <v>2014</v>
      </c>
      <c r="C108" s="86">
        <v>20910</v>
      </c>
      <c r="D108" s="63">
        <v>2014</v>
      </c>
      <c r="E108" s="61">
        <v>107</v>
      </c>
      <c r="F108" s="89">
        <f t="shared" si="4"/>
        <v>9.94798279242268</v>
      </c>
    </row>
    <row r="109" spans="1:6" x14ac:dyDescent="0.35">
      <c r="A109" s="68" t="s">
        <v>101</v>
      </c>
      <c r="B109" s="61" t="str">
        <f t="shared" si="5"/>
        <v>2014</v>
      </c>
      <c r="C109" s="86">
        <v>20631</v>
      </c>
      <c r="D109" s="63">
        <v>2014</v>
      </c>
      <c r="E109" s="61">
        <v>108</v>
      </c>
      <c r="F109" s="89">
        <f t="shared" si="4"/>
        <v>9.9345500779879465</v>
      </c>
    </row>
    <row r="110" spans="1:6" x14ac:dyDescent="0.35">
      <c r="A110" s="68" t="s">
        <v>102</v>
      </c>
      <c r="B110" s="61" t="str">
        <f t="shared" si="5"/>
        <v>2014</v>
      </c>
      <c r="C110" s="86">
        <v>20699</v>
      </c>
      <c r="D110" s="63">
        <v>2014</v>
      </c>
      <c r="E110" s="61">
        <v>109</v>
      </c>
      <c r="F110" s="89">
        <f t="shared" si="4"/>
        <v>9.9378406689077909</v>
      </c>
    </row>
    <row r="111" spans="1:6" x14ac:dyDescent="0.35">
      <c r="A111" s="68" t="s">
        <v>103</v>
      </c>
      <c r="B111" s="61" t="str">
        <f t="shared" si="5"/>
        <v>2014</v>
      </c>
      <c r="C111" s="86">
        <v>21676</v>
      </c>
      <c r="D111" s="63">
        <v>2014</v>
      </c>
      <c r="E111" s="61">
        <v>110</v>
      </c>
      <c r="F111" s="89">
        <f t="shared" si="4"/>
        <v>9.9839609366860049</v>
      </c>
    </row>
    <row r="112" spans="1:6" x14ac:dyDescent="0.35">
      <c r="A112" s="68" t="s">
        <v>104</v>
      </c>
      <c r="B112" s="61" t="str">
        <f t="shared" si="5"/>
        <v>2014</v>
      </c>
      <c r="C112" s="86">
        <v>20211</v>
      </c>
      <c r="D112" s="63">
        <v>2014</v>
      </c>
      <c r="E112" s="61">
        <v>111</v>
      </c>
      <c r="F112" s="89">
        <f t="shared" si="4"/>
        <v>9.9139822896287697</v>
      </c>
    </row>
    <row r="113" spans="1:6" x14ac:dyDescent="0.35">
      <c r="A113" s="68" t="s">
        <v>105</v>
      </c>
      <c r="B113" s="61" t="str">
        <f t="shared" si="5"/>
        <v>2014</v>
      </c>
      <c r="C113" s="86">
        <v>24046</v>
      </c>
      <c r="D113" s="63">
        <v>2014</v>
      </c>
      <c r="E113" s="61">
        <v>112</v>
      </c>
      <c r="F113" s="89">
        <f t="shared" si="4"/>
        <v>10.087723941534854</v>
      </c>
    </row>
    <row r="114" spans="1:6" x14ac:dyDescent="0.35">
      <c r="A114" s="68" t="s">
        <v>106</v>
      </c>
      <c r="B114" s="61" t="str">
        <f t="shared" si="5"/>
        <v>2015</v>
      </c>
      <c r="C114" s="86">
        <v>21713</v>
      </c>
      <c r="D114" s="63">
        <v>2015</v>
      </c>
      <c r="E114" s="61">
        <v>113</v>
      </c>
      <c r="F114" s="89">
        <f t="shared" si="4"/>
        <v>9.9856664384937712</v>
      </c>
    </row>
    <row r="115" spans="1:6" x14ac:dyDescent="0.35">
      <c r="A115" s="68" t="s">
        <v>107</v>
      </c>
      <c r="B115" s="61" t="str">
        <f t="shared" si="5"/>
        <v>2015</v>
      </c>
      <c r="C115" s="86">
        <v>20085</v>
      </c>
      <c r="D115" s="63">
        <v>2015</v>
      </c>
      <c r="E115" s="61">
        <v>114</v>
      </c>
      <c r="F115" s="89">
        <f t="shared" si="4"/>
        <v>9.9077285467933827</v>
      </c>
    </row>
    <row r="116" spans="1:6" x14ac:dyDescent="0.35">
      <c r="A116" s="68" t="s">
        <v>108</v>
      </c>
      <c r="B116" s="61" t="str">
        <f t="shared" si="5"/>
        <v>2015</v>
      </c>
      <c r="C116" s="86">
        <v>22366</v>
      </c>
      <c r="D116" s="63">
        <v>2015</v>
      </c>
      <c r="E116" s="61">
        <v>115</v>
      </c>
      <c r="F116" s="89">
        <f t="shared" si="4"/>
        <v>10.015297227588134</v>
      </c>
    </row>
    <row r="117" spans="1:6" x14ac:dyDescent="0.35">
      <c r="A117" s="68" t="s">
        <v>109</v>
      </c>
      <c r="B117" s="61" t="str">
        <f t="shared" si="5"/>
        <v>2015</v>
      </c>
      <c r="C117" s="86">
        <v>21551</v>
      </c>
      <c r="D117" s="63">
        <v>2015</v>
      </c>
      <c r="E117" s="61">
        <v>116</v>
      </c>
      <c r="F117" s="89">
        <f t="shared" si="4"/>
        <v>9.9781774981675717</v>
      </c>
    </row>
    <row r="118" spans="1:6" x14ac:dyDescent="0.35">
      <c r="A118" s="70" t="s">
        <v>110</v>
      </c>
      <c r="B118" s="61" t="str">
        <f t="shared" si="5"/>
        <v>2015</v>
      </c>
      <c r="C118" s="86">
        <v>21461</v>
      </c>
      <c r="D118" s="63">
        <v>2015</v>
      </c>
      <c r="E118" s="61">
        <v>117</v>
      </c>
      <c r="F118" s="89">
        <f t="shared" si="4"/>
        <v>9.9739926134214816</v>
      </c>
    </row>
    <row r="119" spans="1:6" x14ac:dyDescent="0.35">
      <c r="A119" s="68" t="s">
        <v>111</v>
      </c>
      <c r="B119" s="61" t="str">
        <f t="shared" si="5"/>
        <v>2015</v>
      </c>
      <c r="C119" s="86">
        <v>21489</v>
      </c>
      <c r="D119" s="63">
        <v>2015</v>
      </c>
      <c r="E119" s="61">
        <v>118</v>
      </c>
      <c r="F119" s="89">
        <f t="shared" si="4"/>
        <v>9.9752964552825603</v>
      </c>
    </row>
    <row r="120" spans="1:6" x14ac:dyDescent="0.35">
      <c r="A120" s="68" t="s">
        <v>112</v>
      </c>
      <c r="B120" s="61" t="str">
        <f t="shared" si="5"/>
        <v>2015</v>
      </c>
      <c r="C120" s="86">
        <v>21774</v>
      </c>
      <c r="D120" s="63">
        <v>2015</v>
      </c>
      <c r="E120" s="61">
        <v>119</v>
      </c>
      <c r="F120" s="89">
        <f t="shared" si="4"/>
        <v>9.9884718764411247</v>
      </c>
    </row>
    <row r="121" spans="1:6" x14ac:dyDescent="0.35">
      <c r="A121" s="68" t="s">
        <v>113</v>
      </c>
      <c r="B121" s="61" t="str">
        <f t="shared" si="5"/>
        <v>2015</v>
      </c>
      <c r="C121" s="86">
        <v>21533</v>
      </c>
      <c r="D121" s="63">
        <v>2015</v>
      </c>
      <c r="E121" s="61">
        <v>120</v>
      </c>
      <c r="F121" s="89">
        <f t="shared" si="4"/>
        <v>9.9773419211066088</v>
      </c>
    </row>
    <row r="122" spans="1:6" x14ac:dyDescent="0.35">
      <c r="A122" s="68" t="s">
        <v>114</v>
      </c>
      <c r="B122" s="61" t="str">
        <f t="shared" si="5"/>
        <v>2015</v>
      </c>
      <c r="C122" s="86">
        <v>22018</v>
      </c>
      <c r="D122" s="63">
        <v>2015</v>
      </c>
      <c r="E122" s="61">
        <v>121</v>
      </c>
      <c r="F122" s="89">
        <f t="shared" si="4"/>
        <v>9.9996155796303476</v>
      </c>
    </row>
    <row r="123" spans="1:6" x14ac:dyDescent="0.35">
      <c r="A123" s="68" t="s">
        <v>115</v>
      </c>
      <c r="B123" s="61" t="str">
        <f t="shared" si="5"/>
        <v>2015</v>
      </c>
      <c r="C123" s="86">
        <v>22625</v>
      </c>
      <c r="D123" s="63">
        <v>2015</v>
      </c>
      <c r="E123" s="61">
        <v>122</v>
      </c>
      <c r="F123" s="89">
        <f t="shared" si="4"/>
        <v>10.026810768568128</v>
      </c>
    </row>
    <row r="124" spans="1:6" x14ac:dyDescent="0.35">
      <c r="A124" s="68" t="s">
        <v>116</v>
      </c>
      <c r="B124" s="61" t="str">
        <f t="shared" si="5"/>
        <v>2015</v>
      </c>
      <c r="C124" s="86">
        <v>21642</v>
      </c>
      <c r="D124" s="63">
        <v>2015</v>
      </c>
      <c r="E124" s="61">
        <v>123</v>
      </c>
      <c r="F124" s="89">
        <f t="shared" si="4"/>
        <v>9.9823911501315941</v>
      </c>
    </row>
    <row r="125" spans="1:6" x14ac:dyDescent="0.35">
      <c r="A125" s="68" t="s">
        <v>117</v>
      </c>
      <c r="B125" s="61" t="str">
        <f t="shared" si="5"/>
        <v>2015</v>
      </c>
      <c r="C125" s="86">
        <v>25212</v>
      </c>
      <c r="D125" s="63">
        <v>2015</v>
      </c>
      <c r="E125" s="61">
        <v>124</v>
      </c>
      <c r="F125" s="89">
        <f t="shared" si="4"/>
        <v>10.135075350633</v>
      </c>
    </row>
    <row r="126" spans="1:6" x14ac:dyDescent="0.35">
      <c r="A126" s="68" t="s">
        <v>118</v>
      </c>
      <c r="B126" s="61" t="str">
        <f t="shared" si="5"/>
        <v>2016</v>
      </c>
      <c r="C126" s="86">
        <v>22157</v>
      </c>
      <c r="D126" s="63">
        <v>2016</v>
      </c>
      <c r="E126" s="61">
        <v>125</v>
      </c>
      <c r="F126" s="89">
        <f t="shared" si="4"/>
        <v>10.005908752635277</v>
      </c>
    </row>
    <row r="127" spans="1:6" x14ac:dyDescent="0.35">
      <c r="A127" s="68" t="s">
        <v>119</v>
      </c>
      <c r="B127" s="61" t="str">
        <f t="shared" si="5"/>
        <v>2016</v>
      </c>
      <c r="C127" s="86">
        <v>22390</v>
      </c>
      <c r="D127" s="63">
        <v>2016</v>
      </c>
      <c r="E127" s="61">
        <v>126</v>
      </c>
      <c r="F127" s="89">
        <f t="shared" si="4"/>
        <v>10.0163697095928</v>
      </c>
    </row>
    <row r="128" spans="1:6" x14ac:dyDescent="0.35">
      <c r="A128" s="68" t="s">
        <v>120</v>
      </c>
      <c r="B128" s="61" t="str">
        <f t="shared" si="5"/>
        <v>2016</v>
      </c>
      <c r="C128" s="86">
        <v>23550</v>
      </c>
      <c r="D128" s="63">
        <v>2016</v>
      </c>
      <c r="E128" s="61">
        <v>127</v>
      </c>
      <c r="F128" s="89">
        <f t="shared" si="4"/>
        <v>10.066881099444563</v>
      </c>
    </row>
    <row r="129" spans="1:6" x14ac:dyDescent="0.35">
      <c r="A129" s="68" t="s">
        <v>121</v>
      </c>
      <c r="B129" s="61" t="str">
        <f t="shared" si="5"/>
        <v>2016</v>
      </c>
      <c r="C129" s="86">
        <v>22650</v>
      </c>
      <c r="D129" s="63">
        <v>2016</v>
      </c>
      <c r="E129" s="61">
        <v>128</v>
      </c>
      <c r="F129" s="89">
        <f t="shared" si="4"/>
        <v>10.027915130911181</v>
      </c>
    </row>
    <row r="130" spans="1:6" x14ac:dyDescent="0.35">
      <c r="A130" s="70" t="s">
        <v>122</v>
      </c>
      <c r="B130" s="61" t="str">
        <f t="shared" ref="B130:B161" si="6">MID(A130,6,4)</f>
        <v>2016</v>
      </c>
      <c r="C130" s="86">
        <v>23091</v>
      </c>
      <c r="D130" s="63">
        <v>2016</v>
      </c>
      <c r="E130" s="61">
        <v>129</v>
      </c>
      <c r="F130" s="89">
        <f t="shared" si="4"/>
        <v>10.047198210202428</v>
      </c>
    </row>
    <row r="131" spans="1:6" x14ac:dyDescent="0.35">
      <c r="A131" s="68" t="s">
        <v>123</v>
      </c>
      <c r="B131" s="61" t="str">
        <f t="shared" si="6"/>
        <v>2016</v>
      </c>
      <c r="C131" s="86">
        <v>22696</v>
      </c>
      <c r="D131" s="63">
        <v>2016</v>
      </c>
      <c r="E131" s="61">
        <v>130</v>
      </c>
      <c r="F131" s="89">
        <f t="shared" ref="F131:F181" si="7">LN(C131)</f>
        <v>10.029943976488687</v>
      </c>
    </row>
    <row r="132" spans="1:6" x14ac:dyDescent="0.35">
      <c r="A132" s="68" t="s">
        <v>124</v>
      </c>
      <c r="B132" s="61" t="str">
        <f t="shared" si="6"/>
        <v>2016</v>
      </c>
      <c r="C132" s="86">
        <v>22157</v>
      </c>
      <c r="D132" s="63">
        <v>2016</v>
      </c>
      <c r="E132" s="61">
        <v>131</v>
      </c>
      <c r="F132" s="89">
        <f t="shared" si="7"/>
        <v>10.005908752635277</v>
      </c>
    </row>
    <row r="133" spans="1:6" x14ac:dyDescent="0.35">
      <c r="A133" s="68" t="s">
        <v>125</v>
      </c>
      <c r="B133" s="61" t="str">
        <f t="shared" si="6"/>
        <v>2016</v>
      </c>
      <c r="C133" s="86">
        <v>22989</v>
      </c>
      <c r="D133" s="63">
        <v>2016</v>
      </c>
      <c r="E133" s="61">
        <v>132</v>
      </c>
      <c r="F133" s="89">
        <f t="shared" si="7"/>
        <v>10.042771119638514</v>
      </c>
    </row>
    <row r="134" spans="1:6" x14ac:dyDescent="0.35">
      <c r="A134" s="68" t="s">
        <v>126</v>
      </c>
      <c r="B134" s="61" t="str">
        <f t="shared" si="6"/>
        <v>2016</v>
      </c>
      <c r="C134" s="86">
        <v>22211</v>
      </c>
      <c r="D134" s="63">
        <v>2016</v>
      </c>
      <c r="E134" s="61">
        <v>133</v>
      </c>
      <c r="F134" s="89">
        <f t="shared" si="7"/>
        <v>10.008342940638508</v>
      </c>
    </row>
    <row r="135" spans="1:6" x14ac:dyDescent="0.35">
      <c r="A135" s="68" t="s">
        <v>127</v>
      </c>
      <c r="B135" s="61" t="str">
        <f t="shared" si="6"/>
        <v>2016</v>
      </c>
      <c r="C135" s="86">
        <v>22096</v>
      </c>
      <c r="D135" s="63">
        <v>2016</v>
      </c>
      <c r="E135" s="61">
        <v>134</v>
      </c>
      <c r="F135" s="89">
        <f t="shared" si="7"/>
        <v>10.003151875649074</v>
      </c>
    </row>
    <row r="136" spans="1:6" x14ac:dyDescent="0.35">
      <c r="A136" s="68" t="s">
        <v>128</v>
      </c>
      <c r="B136" s="61" t="str">
        <f t="shared" si="6"/>
        <v>2016</v>
      </c>
      <c r="C136" s="86">
        <v>21854</v>
      </c>
      <c r="D136" s="63">
        <v>2016</v>
      </c>
      <c r="E136" s="61">
        <v>135</v>
      </c>
      <c r="F136" s="89">
        <f t="shared" si="7"/>
        <v>9.9921392501306912</v>
      </c>
    </row>
    <row r="137" spans="1:6" x14ac:dyDescent="0.35">
      <c r="A137" s="68" t="s">
        <v>129</v>
      </c>
      <c r="B137" s="61" t="str">
        <f t="shared" si="6"/>
        <v>2016</v>
      </c>
      <c r="C137" s="86">
        <v>24489</v>
      </c>
      <c r="D137" s="63">
        <v>2016</v>
      </c>
      <c r="E137" s="61">
        <v>136</v>
      </c>
      <c r="F137" s="89">
        <f t="shared" si="7"/>
        <v>10.105979316119466</v>
      </c>
    </row>
    <row r="138" spans="1:6" x14ac:dyDescent="0.35">
      <c r="A138" s="68" t="s">
        <v>130</v>
      </c>
      <c r="B138" s="61" t="str">
        <f t="shared" si="6"/>
        <v>2017</v>
      </c>
      <c r="C138" s="86">
        <v>22379</v>
      </c>
      <c r="D138" s="63">
        <v>2017</v>
      </c>
      <c r="E138" s="61">
        <v>137</v>
      </c>
      <c r="F138" s="89">
        <f t="shared" si="7"/>
        <v>10.015878298115155</v>
      </c>
    </row>
    <row r="139" spans="1:6" x14ac:dyDescent="0.35">
      <c r="A139" s="68" t="s">
        <v>131</v>
      </c>
      <c r="B139" s="61" t="str">
        <f t="shared" si="6"/>
        <v>2017</v>
      </c>
      <c r="C139" s="86">
        <v>21234</v>
      </c>
      <c r="D139" s="63">
        <v>2017</v>
      </c>
      <c r="E139" s="61">
        <v>138</v>
      </c>
      <c r="F139" s="89">
        <f t="shared" si="7"/>
        <v>9.963358949573518</v>
      </c>
    </row>
    <row r="140" spans="1:6" x14ac:dyDescent="0.35">
      <c r="A140" s="68" t="s">
        <v>132</v>
      </c>
      <c r="B140" s="61" t="str">
        <f t="shared" si="6"/>
        <v>2017</v>
      </c>
      <c r="C140" s="86">
        <v>23348</v>
      </c>
      <c r="D140" s="63">
        <v>2017</v>
      </c>
      <c r="E140" s="61">
        <v>139</v>
      </c>
      <c r="F140" s="89">
        <f t="shared" si="7"/>
        <v>10.058266606323683</v>
      </c>
    </row>
    <row r="141" spans="1:6" x14ac:dyDescent="0.35">
      <c r="A141" s="68" t="s">
        <v>133</v>
      </c>
      <c r="B141" s="61" t="str">
        <f t="shared" si="6"/>
        <v>2017</v>
      </c>
      <c r="C141" s="86">
        <v>22294</v>
      </c>
      <c r="D141" s="63">
        <v>2017</v>
      </c>
      <c r="E141" s="61">
        <v>140</v>
      </c>
      <c r="F141" s="89">
        <f t="shared" si="7"/>
        <v>10.012072862949569</v>
      </c>
    </row>
    <row r="142" spans="1:6" x14ac:dyDescent="0.35">
      <c r="A142" s="70" t="s">
        <v>134</v>
      </c>
      <c r="B142" s="61" t="str">
        <f t="shared" si="6"/>
        <v>2017</v>
      </c>
      <c r="C142" s="86">
        <v>23737</v>
      </c>
      <c r="D142" s="63">
        <v>2017</v>
      </c>
      <c r="E142" s="61">
        <v>141</v>
      </c>
      <c r="F142" s="89">
        <f t="shared" si="7"/>
        <v>10.074790291180951</v>
      </c>
    </row>
    <row r="143" spans="1:6" x14ac:dyDescent="0.35">
      <c r="A143" s="68" t="s">
        <v>135</v>
      </c>
      <c r="B143" s="61" t="str">
        <f t="shared" si="6"/>
        <v>2017</v>
      </c>
      <c r="C143" s="86">
        <v>23055</v>
      </c>
      <c r="D143" s="63">
        <v>2017</v>
      </c>
      <c r="E143" s="61">
        <v>142</v>
      </c>
      <c r="F143" s="89">
        <f t="shared" si="7"/>
        <v>10.045637944640806</v>
      </c>
    </row>
    <row r="144" spans="1:6" x14ac:dyDescent="0.35">
      <c r="A144" s="68" t="s">
        <v>136</v>
      </c>
      <c r="B144" s="61" t="str">
        <f t="shared" si="6"/>
        <v>2017</v>
      </c>
      <c r="C144" s="86">
        <v>22295</v>
      </c>
      <c r="D144" s="63">
        <v>2017</v>
      </c>
      <c r="E144" s="61">
        <v>143</v>
      </c>
      <c r="F144" s="89">
        <f t="shared" si="7"/>
        <v>10.012117717061576</v>
      </c>
    </row>
    <row r="145" spans="1:6" x14ac:dyDescent="0.35">
      <c r="A145" s="68" t="s">
        <v>137</v>
      </c>
      <c r="B145" s="61" t="str">
        <f t="shared" si="6"/>
        <v>2017</v>
      </c>
      <c r="C145" s="86">
        <v>23540</v>
      </c>
      <c r="D145" s="63">
        <v>2017</v>
      </c>
      <c r="E145" s="61">
        <v>144</v>
      </c>
      <c r="F145" s="89">
        <f t="shared" si="7"/>
        <v>10.066456380814268</v>
      </c>
    </row>
    <row r="146" spans="1:6" x14ac:dyDescent="0.35">
      <c r="A146" s="68" t="s">
        <v>138</v>
      </c>
      <c r="B146" s="61" t="str">
        <f t="shared" si="6"/>
        <v>2017</v>
      </c>
      <c r="C146" s="86">
        <v>22628</v>
      </c>
      <c r="D146" s="63">
        <v>2017</v>
      </c>
      <c r="E146" s="61">
        <v>145</v>
      </c>
      <c r="F146" s="89">
        <f t="shared" si="7"/>
        <v>10.026943356463047</v>
      </c>
    </row>
    <row r="147" spans="1:6" x14ac:dyDescent="0.35">
      <c r="A147" s="68" t="s">
        <v>139</v>
      </c>
      <c r="B147" s="61" t="str">
        <f t="shared" si="6"/>
        <v>2017</v>
      </c>
      <c r="C147" s="86">
        <v>24105</v>
      </c>
      <c r="D147" s="63">
        <v>2017</v>
      </c>
      <c r="E147" s="61">
        <v>146</v>
      </c>
      <c r="F147" s="89">
        <f t="shared" si="7"/>
        <v>10.090174566839723</v>
      </c>
    </row>
    <row r="148" spans="1:6" x14ac:dyDescent="0.35">
      <c r="A148" s="68" t="s">
        <v>140</v>
      </c>
      <c r="B148" s="61" t="str">
        <f t="shared" si="6"/>
        <v>2017</v>
      </c>
      <c r="C148" s="86">
        <v>23359</v>
      </c>
      <c r="D148" s="63">
        <v>2017</v>
      </c>
      <c r="E148" s="61">
        <v>147</v>
      </c>
      <c r="F148" s="89">
        <f t="shared" si="7"/>
        <v>10.058737627806687</v>
      </c>
    </row>
    <row r="149" spans="1:6" x14ac:dyDescent="0.35">
      <c r="A149" s="68" t="s">
        <v>141</v>
      </c>
      <c r="B149" s="61" t="str">
        <f t="shared" si="6"/>
        <v>2017</v>
      </c>
      <c r="C149" s="86">
        <v>25422</v>
      </c>
      <c r="D149" s="63">
        <v>2017</v>
      </c>
      <c r="E149" s="61">
        <v>148</v>
      </c>
      <c r="F149" s="89">
        <f t="shared" si="7"/>
        <v>10.143370219854614</v>
      </c>
    </row>
    <row r="150" spans="1:6" x14ac:dyDescent="0.35">
      <c r="A150" s="68" t="s">
        <v>142</v>
      </c>
      <c r="B150" s="61" t="str">
        <f t="shared" si="6"/>
        <v>2018</v>
      </c>
      <c r="C150" s="86">
        <v>24280</v>
      </c>
      <c r="D150" s="63">
        <v>2018</v>
      </c>
      <c r="E150" s="61">
        <v>149</v>
      </c>
      <c r="F150" s="89">
        <f t="shared" si="7"/>
        <v>10.097408245173435</v>
      </c>
    </row>
    <row r="151" spans="1:6" x14ac:dyDescent="0.35">
      <c r="A151" s="68" t="s">
        <v>143</v>
      </c>
      <c r="B151" s="61" t="str">
        <f t="shared" si="6"/>
        <v>2018</v>
      </c>
      <c r="C151" s="86">
        <v>22007</v>
      </c>
      <c r="D151" s="63">
        <v>2018</v>
      </c>
      <c r="E151" s="61">
        <v>150</v>
      </c>
      <c r="F151" s="89">
        <f t="shared" si="7"/>
        <v>9.9991158635495356</v>
      </c>
    </row>
    <row r="152" spans="1:6" x14ac:dyDescent="0.35">
      <c r="A152" s="68" t="s">
        <v>144</v>
      </c>
      <c r="B152" s="61" t="str">
        <f t="shared" si="6"/>
        <v>2018</v>
      </c>
      <c r="C152" s="86">
        <v>24075</v>
      </c>
      <c r="D152" s="63">
        <v>2018</v>
      </c>
      <c r="E152" s="61">
        <v>151</v>
      </c>
      <c r="F152" s="89">
        <f t="shared" si="7"/>
        <v>10.088929236666326</v>
      </c>
    </row>
    <row r="153" spans="1:6" x14ac:dyDescent="0.35">
      <c r="A153" s="68" t="s">
        <v>145</v>
      </c>
      <c r="B153" s="61" t="str">
        <f t="shared" si="6"/>
        <v>2018</v>
      </c>
      <c r="C153" s="86">
        <v>23242</v>
      </c>
      <c r="D153" s="63">
        <v>2018</v>
      </c>
      <c r="E153" s="61">
        <v>152</v>
      </c>
      <c r="F153" s="89">
        <f t="shared" si="7"/>
        <v>10.053716265782819</v>
      </c>
    </row>
    <row r="154" spans="1:6" x14ac:dyDescent="0.35">
      <c r="A154" s="70" t="s">
        <v>146</v>
      </c>
      <c r="B154" s="61" t="str">
        <f t="shared" si="6"/>
        <v>2018</v>
      </c>
      <c r="C154" s="86">
        <v>24848</v>
      </c>
      <c r="D154" s="63">
        <v>2018</v>
      </c>
      <c r="E154" s="61">
        <v>153</v>
      </c>
      <c r="F154" s="89">
        <f t="shared" si="7"/>
        <v>10.120532545388468</v>
      </c>
    </row>
    <row r="155" spans="1:6" x14ac:dyDescent="0.35">
      <c r="A155" s="68" t="s">
        <v>147</v>
      </c>
      <c r="B155" s="61" t="str">
        <f t="shared" si="6"/>
        <v>2018</v>
      </c>
      <c r="C155" s="86">
        <v>23329</v>
      </c>
      <c r="D155" s="63">
        <v>2018</v>
      </c>
      <c r="E155" s="61">
        <v>154</v>
      </c>
      <c r="F155" s="89">
        <f t="shared" si="7"/>
        <v>10.057452500830639</v>
      </c>
    </row>
    <row r="156" spans="1:6" x14ac:dyDescent="0.35">
      <c r="A156" s="68" t="s">
        <v>148</v>
      </c>
      <c r="B156" s="61" t="str">
        <f t="shared" si="6"/>
        <v>2018</v>
      </c>
      <c r="C156" s="86">
        <v>23581</v>
      </c>
      <c r="D156" s="63">
        <v>2018</v>
      </c>
      <c r="E156" s="61">
        <v>155</v>
      </c>
      <c r="F156" s="89">
        <f t="shared" si="7"/>
        <v>10.068196582013169</v>
      </c>
    </row>
    <row r="157" spans="1:6" x14ac:dyDescent="0.35">
      <c r="A157" s="68" t="s">
        <v>149</v>
      </c>
      <c r="B157" s="61" t="str">
        <f t="shared" si="6"/>
        <v>2018</v>
      </c>
      <c r="C157" s="86">
        <v>24762</v>
      </c>
      <c r="D157" s="63">
        <v>2018</v>
      </c>
      <c r="E157" s="61">
        <v>156</v>
      </c>
      <c r="F157" s="89">
        <f t="shared" si="7"/>
        <v>10.117065498980637</v>
      </c>
    </row>
    <row r="158" spans="1:6" x14ac:dyDescent="0.35">
      <c r="A158" s="68" t="s">
        <v>150</v>
      </c>
      <c r="B158" s="61" t="str">
        <f t="shared" si="6"/>
        <v>2018</v>
      </c>
      <c r="C158" s="86">
        <v>22930</v>
      </c>
      <c r="D158" s="63">
        <v>2018</v>
      </c>
      <c r="E158" s="61">
        <v>157</v>
      </c>
      <c r="F158" s="89">
        <f t="shared" si="7"/>
        <v>10.04020137585195</v>
      </c>
    </row>
    <row r="159" spans="1:6" x14ac:dyDescent="0.35">
      <c r="A159" s="68" t="s">
        <v>151</v>
      </c>
      <c r="B159" s="61" t="str">
        <f t="shared" si="6"/>
        <v>2018</v>
      </c>
      <c r="C159" s="86">
        <v>25608</v>
      </c>
      <c r="D159" s="63">
        <v>2018</v>
      </c>
      <c r="E159" s="61">
        <v>158</v>
      </c>
      <c r="F159" s="89">
        <f t="shared" si="7"/>
        <v>10.150660081649699</v>
      </c>
    </row>
    <row r="160" spans="1:6" x14ac:dyDescent="0.35">
      <c r="A160" s="68" t="s">
        <v>152</v>
      </c>
      <c r="B160" s="61" t="str">
        <f t="shared" si="6"/>
        <v>2018</v>
      </c>
      <c r="C160" s="86">
        <v>24553</v>
      </c>
      <c r="D160" s="63">
        <v>2018</v>
      </c>
      <c r="E160" s="61">
        <v>159</v>
      </c>
      <c r="F160" s="89">
        <f t="shared" si="7"/>
        <v>10.108589325349573</v>
      </c>
    </row>
    <row r="161" spans="1:6" x14ac:dyDescent="0.35">
      <c r="A161" s="68" t="s">
        <v>153</v>
      </c>
      <c r="B161" s="61" t="str">
        <f t="shared" si="6"/>
        <v>2018</v>
      </c>
      <c r="C161" s="86">
        <v>25631</v>
      </c>
      <c r="D161" s="63">
        <v>2018</v>
      </c>
      <c r="E161" s="61">
        <v>160</v>
      </c>
      <c r="F161" s="89">
        <f t="shared" si="7"/>
        <v>10.151557835374197</v>
      </c>
    </row>
    <row r="162" spans="1:6" x14ac:dyDescent="0.35">
      <c r="A162" s="68" t="s">
        <v>154</v>
      </c>
      <c r="B162" s="61" t="str">
        <f t="shared" ref="B162:B193" si="8">MID(A162,6,4)</f>
        <v>2019</v>
      </c>
      <c r="C162" s="86">
        <v>25037</v>
      </c>
      <c r="D162" s="63">
        <v>2019</v>
      </c>
      <c r="E162" s="61">
        <v>161</v>
      </c>
      <c r="F162" s="89">
        <f t="shared" si="7"/>
        <v>10.128110009729737</v>
      </c>
    </row>
    <row r="163" spans="1:6" x14ac:dyDescent="0.35">
      <c r="A163" s="68" t="s">
        <v>155</v>
      </c>
      <c r="B163" s="61" t="str">
        <f t="shared" si="8"/>
        <v>2019</v>
      </c>
      <c r="C163" s="86">
        <v>23240</v>
      </c>
      <c r="D163" s="63">
        <v>2019</v>
      </c>
      <c r="E163" s="61">
        <v>162</v>
      </c>
      <c r="F163" s="89">
        <f t="shared" si="7"/>
        <v>10.053630210965848</v>
      </c>
    </row>
    <row r="164" spans="1:6" x14ac:dyDescent="0.35">
      <c r="A164" s="68" t="s">
        <v>156</v>
      </c>
      <c r="B164" s="61" t="str">
        <f t="shared" si="8"/>
        <v>2019</v>
      </c>
      <c r="C164" s="86">
        <v>24577</v>
      </c>
      <c r="D164" s="63">
        <v>2019</v>
      </c>
      <c r="E164" s="61">
        <v>163</v>
      </c>
      <c r="F164" s="89">
        <f t="shared" si="7"/>
        <v>10.109566325223746</v>
      </c>
    </row>
    <row r="165" spans="1:6" x14ac:dyDescent="0.35">
      <c r="A165" s="68" t="s">
        <v>157</v>
      </c>
      <c r="B165" s="61" t="str">
        <f t="shared" si="8"/>
        <v>2019</v>
      </c>
      <c r="C165" s="86">
        <v>24806</v>
      </c>
      <c r="D165" s="63">
        <v>2019</v>
      </c>
      <c r="E165" s="61">
        <v>164</v>
      </c>
      <c r="F165" s="89">
        <f t="shared" si="7"/>
        <v>10.118840838375275</v>
      </c>
    </row>
    <row r="166" spans="1:6" x14ac:dyDescent="0.35">
      <c r="A166" s="70" t="s">
        <v>158</v>
      </c>
      <c r="B166" s="61" t="str">
        <f t="shared" si="8"/>
        <v>2019</v>
      </c>
      <c r="C166" s="86">
        <v>25717</v>
      </c>
      <c r="D166" s="63">
        <v>2019</v>
      </c>
      <c r="E166" s="61">
        <v>165</v>
      </c>
      <c r="F166" s="89">
        <f t="shared" si="7"/>
        <v>10.154907530801994</v>
      </c>
    </row>
    <row r="167" spans="1:6" x14ac:dyDescent="0.35">
      <c r="A167" s="68" t="s">
        <v>159</v>
      </c>
      <c r="B167" s="61" t="str">
        <f t="shared" si="8"/>
        <v>2019</v>
      </c>
      <c r="C167" s="86">
        <v>23745</v>
      </c>
      <c r="D167" s="63">
        <v>2019</v>
      </c>
      <c r="E167" s="61">
        <v>166</v>
      </c>
      <c r="F167" s="89">
        <f t="shared" si="7"/>
        <v>10.075127260983223</v>
      </c>
    </row>
    <row r="168" spans="1:6" x14ac:dyDescent="0.35">
      <c r="A168" s="68" t="s">
        <v>160</v>
      </c>
      <c r="B168" s="61" t="str">
        <f t="shared" si="8"/>
        <v>2019</v>
      </c>
      <c r="C168" s="86">
        <v>24531</v>
      </c>
      <c r="D168" s="63">
        <v>2019</v>
      </c>
      <c r="E168" s="61">
        <v>167</v>
      </c>
      <c r="F168" s="89">
        <f t="shared" si="7"/>
        <v>10.107692902830086</v>
      </c>
    </row>
    <row r="169" spans="1:6" x14ac:dyDescent="0.35">
      <c r="A169" s="68" t="s">
        <v>161</v>
      </c>
      <c r="B169" s="61" t="str">
        <f t="shared" si="8"/>
        <v>2019</v>
      </c>
      <c r="C169" s="86">
        <v>24710</v>
      </c>
      <c r="D169" s="63">
        <v>2019</v>
      </c>
      <c r="E169" s="61">
        <v>168</v>
      </c>
      <c r="F169" s="89">
        <f t="shared" si="7"/>
        <v>10.114963298982655</v>
      </c>
    </row>
    <row r="170" spans="1:6" x14ac:dyDescent="0.35">
      <c r="A170" s="68" t="s">
        <v>162</v>
      </c>
      <c r="B170" s="61" t="str">
        <f t="shared" si="8"/>
        <v>2019</v>
      </c>
      <c r="C170" s="86">
        <v>23630</v>
      </c>
      <c r="D170" s="63">
        <v>2019</v>
      </c>
      <c r="E170" s="61">
        <v>169</v>
      </c>
      <c r="F170" s="89">
        <f t="shared" si="7"/>
        <v>10.070272370180954</v>
      </c>
    </row>
    <row r="171" spans="1:6" x14ac:dyDescent="0.35">
      <c r="A171" s="68" t="s">
        <v>163</v>
      </c>
      <c r="B171" s="61" t="str">
        <f t="shared" si="8"/>
        <v>2019</v>
      </c>
      <c r="C171" s="86">
        <v>26097</v>
      </c>
      <c r="D171" s="63">
        <v>2019</v>
      </c>
      <c r="E171" s="61">
        <v>170</v>
      </c>
      <c r="F171" s="89">
        <f t="shared" si="7"/>
        <v>10.16957564417565</v>
      </c>
    </row>
    <row r="172" spans="1:6" x14ac:dyDescent="0.35">
      <c r="A172" s="68" t="s">
        <v>164</v>
      </c>
      <c r="B172" s="61" t="str">
        <f t="shared" si="8"/>
        <v>2019</v>
      </c>
      <c r="C172" s="86">
        <v>23964</v>
      </c>
      <c r="D172" s="63">
        <v>2019</v>
      </c>
      <c r="E172" s="61">
        <v>171</v>
      </c>
      <c r="F172" s="89">
        <f t="shared" si="7"/>
        <v>10.084307983203816</v>
      </c>
    </row>
    <row r="173" spans="1:6" x14ac:dyDescent="0.35">
      <c r="A173" s="68" t="s">
        <v>165</v>
      </c>
      <c r="B173" s="61" t="str">
        <f t="shared" si="8"/>
        <v>2019</v>
      </c>
      <c r="C173" s="86">
        <v>26509</v>
      </c>
      <c r="D173" s="63">
        <v>2019</v>
      </c>
      <c r="E173" s="61">
        <v>172</v>
      </c>
      <c r="F173" s="89">
        <f t="shared" si="7"/>
        <v>10.185239576957109</v>
      </c>
    </row>
    <row r="174" spans="1:6" x14ac:dyDescent="0.35">
      <c r="A174" s="68" t="s">
        <v>166</v>
      </c>
      <c r="B174" s="61" t="str">
        <f t="shared" si="8"/>
        <v>2020</v>
      </c>
      <c r="C174" s="86">
        <v>25209</v>
      </c>
      <c r="D174" s="63">
        <v>2020</v>
      </c>
      <c r="E174" s="61">
        <v>173</v>
      </c>
      <c r="F174" s="89">
        <f t="shared" si="7"/>
        <v>10.134956352596328</v>
      </c>
    </row>
    <row r="175" spans="1:6" x14ac:dyDescent="0.35">
      <c r="A175" s="68" t="s">
        <v>167</v>
      </c>
      <c r="B175" s="61" t="str">
        <f t="shared" si="8"/>
        <v>2020</v>
      </c>
      <c r="C175" s="86">
        <v>23934</v>
      </c>
      <c r="D175" s="63">
        <v>2020</v>
      </c>
      <c r="E175" s="61">
        <v>174</v>
      </c>
      <c r="F175" s="89">
        <f t="shared" si="7"/>
        <v>10.083055321133461</v>
      </c>
    </row>
    <row r="176" spans="1:6" x14ac:dyDescent="0.35">
      <c r="A176" s="68" t="s">
        <v>168</v>
      </c>
      <c r="B176" s="61" t="str">
        <f t="shared" si="8"/>
        <v>2020</v>
      </c>
      <c r="C176" s="86">
        <v>27839</v>
      </c>
      <c r="D176" s="63">
        <v>2020</v>
      </c>
      <c r="E176" s="61">
        <v>175</v>
      </c>
      <c r="F176" s="89">
        <f t="shared" si="7"/>
        <v>10.234193194263003</v>
      </c>
    </row>
    <row r="177" spans="1:6" x14ac:dyDescent="0.35">
      <c r="A177" s="68" t="s">
        <v>169</v>
      </c>
      <c r="B177" s="61" t="str">
        <f t="shared" si="8"/>
        <v>2020</v>
      </c>
      <c r="C177" s="86">
        <v>24749</v>
      </c>
      <c r="D177" s="63">
        <v>2020</v>
      </c>
      <c r="E177" s="61">
        <v>176</v>
      </c>
      <c r="F177" s="89">
        <f t="shared" si="7"/>
        <v>10.116540363140167</v>
      </c>
    </row>
    <row r="178" spans="1:6" x14ac:dyDescent="0.35">
      <c r="A178" s="70" t="s">
        <v>170</v>
      </c>
      <c r="B178" s="61" t="str">
        <f t="shared" si="8"/>
        <v>2020</v>
      </c>
      <c r="C178" s="86">
        <v>24923</v>
      </c>
      <c r="D178" s="63">
        <v>2020</v>
      </c>
      <c r="E178" s="61">
        <v>177</v>
      </c>
      <c r="F178" s="89">
        <f t="shared" si="7"/>
        <v>10.123546350888414</v>
      </c>
    </row>
    <row r="179" spans="1:6" x14ac:dyDescent="0.35">
      <c r="A179" s="68" t="s">
        <v>171</v>
      </c>
      <c r="B179" s="61" t="str">
        <f t="shared" si="8"/>
        <v>2020</v>
      </c>
      <c r="C179" s="86">
        <v>25841</v>
      </c>
      <c r="D179" s="63">
        <v>2020</v>
      </c>
      <c r="E179" s="61">
        <v>178</v>
      </c>
      <c r="F179" s="89">
        <f t="shared" si="7"/>
        <v>10.159717656838128</v>
      </c>
    </row>
    <row r="180" spans="1:6" x14ac:dyDescent="0.35">
      <c r="A180" s="68" t="s">
        <v>172</v>
      </c>
      <c r="B180" s="61" t="str">
        <f t="shared" si="8"/>
        <v>2020</v>
      </c>
      <c r="C180" s="86">
        <v>26334</v>
      </c>
      <c r="D180" s="63">
        <v>2020</v>
      </c>
      <c r="E180" s="61">
        <v>179</v>
      </c>
      <c r="F180" s="89">
        <f t="shared" si="7"/>
        <v>10.17861615891629</v>
      </c>
    </row>
    <row r="181" spans="1:6" ht="15" thickBot="1" x14ac:dyDescent="0.4">
      <c r="A181" s="71" t="s">
        <v>173</v>
      </c>
      <c r="B181" s="72" t="str">
        <f t="shared" si="8"/>
        <v>2020</v>
      </c>
      <c r="C181" s="87">
        <v>25913</v>
      </c>
      <c r="D181" s="74">
        <v>2020</v>
      </c>
      <c r="E181" s="72">
        <v>180</v>
      </c>
      <c r="F181" s="90">
        <f t="shared" si="7"/>
        <v>10.16250005226458</v>
      </c>
    </row>
  </sheetData>
  <mergeCells count="1">
    <mergeCell ref="H2: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8F6A-EF2E-4B00-96DC-AC5ABC4A7257}">
  <dimension ref="A1:L204"/>
  <sheetViews>
    <sheetView workbookViewId="0">
      <selection activeCell="D3" sqref="D3"/>
    </sheetView>
  </sheetViews>
  <sheetFormatPr defaultRowHeight="14.5" x14ac:dyDescent="0.35"/>
  <cols>
    <col min="1" max="1" width="18.54296875" bestFit="1" customWidth="1"/>
    <col min="2" max="2" width="18.26953125" customWidth="1"/>
    <col min="3" max="3" width="8.81640625" bestFit="1" customWidth="1"/>
    <col min="4" max="5" width="9.08984375" bestFit="1" customWidth="1"/>
    <col min="6" max="9" width="8.81640625" bestFit="1" customWidth="1"/>
  </cols>
  <sheetData>
    <row r="1" spans="1:12" ht="15" thickBot="1" x14ac:dyDescent="0.4">
      <c r="A1" s="8" t="s">
        <v>185</v>
      </c>
      <c r="B1" s="8"/>
      <c r="C1" s="8"/>
      <c r="D1" s="8"/>
      <c r="E1" s="8"/>
      <c r="F1" s="8"/>
      <c r="G1" s="8"/>
      <c r="H1" s="8"/>
      <c r="I1" s="8"/>
    </row>
    <row r="2" spans="1:12" ht="15" thickBot="1" x14ac:dyDescent="0.4">
      <c r="A2" s="8"/>
      <c r="B2" s="8"/>
      <c r="C2" s="8"/>
      <c r="D2" s="116" t="s">
        <v>244</v>
      </c>
      <c r="E2" s="117"/>
      <c r="F2" s="117"/>
      <c r="G2" s="117"/>
      <c r="H2" s="117"/>
      <c r="I2" s="117"/>
      <c r="J2" s="117"/>
      <c r="K2" s="117"/>
      <c r="L2" s="118"/>
    </row>
    <row r="3" spans="1:12" x14ac:dyDescent="0.35">
      <c r="A3" s="9" t="s">
        <v>186</v>
      </c>
      <c r="B3" s="9"/>
      <c r="C3" s="8"/>
      <c r="D3" s="8"/>
      <c r="E3" s="8"/>
      <c r="F3" s="8"/>
      <c r="G3" s="8"/>
      <c r="H3" s="8"/>
      <c r="I3" s="8"/>
    </row>
    <row r="4" spans="1:12" x14ac:dyDescent="0.35">
      <c r="A4" s="10" t="s">
        <v>187</v>
      </c>
      <c r="B4" s="10">
        <v>0.95824062058500692</v>
      </c>
      <c r="C4" s="8"/>
      <c r="D4" s="8"/>
      <c r="E4" s="8"/>
      <c r="F4" s="8"/>
      <c r="G4" s="8"/>
      <c r="H4" s="8"/>
      <c r="I4" s="8"/>
    </row>
    <row r="5" spans="1:12" x14ac:dyDescent="0.35">
      <c r="A5" s="10" t="s">
        <v>188</v>
      </c>
      <c r="B5" s="14">
        <v>0.91822508693913929</v>
      </c>
      <c r="C5" s="8"/>
      <c r="D5" s="8"/>
      <c r="E5" s="8"/>
      <c r="F5" s="8"/>
      <c r="G5" s="8"/>
      <c r="H5" s="8"/>
      <c r="I5" s="8"/>
    </row>
    <row r="6" spans="1:12" ht="18.5" x14ac:dyDescent="0.45">
      <c r="A6" s="10" t="s">
        <v>189</v>
      </c>
      <c r="B6" s="31">
        <v>0.91776567731520187</v>
      </c>
      <c r="C6" s="8"/>
      <c r="D6" s="8"/>
      <c r="E6" s="8"/>
      <c r="F6" s="8"/>
      <c r="G6" s="8"/>
      <c r="H6" s="8"/>
      <c r="I6" s="8"/>
    </row>
    <row r="7" spans="1:12" x14ac:dyDescent="0.35">
      <c r="A7" s="10" t="s">
        <v>190</v>
      </c>
      <c r="B7" s="24">
        <v>4.3021350654723407E-2</v>
      </c>
      <c r="C7" s="8"/>
      <c r="D7" s="8"/>
      <c r="E7" s="8"/>
      <c r="F7" s="8"/>
      <c r="G7" s="8"/>
      <c r="H7" s="8"/>
      <c r="I7" s="8"/>
    </row>
    <row r="8" spans="1:12" ht="15" thickBot="1" x14ac:dyDescent="0.4">
      <c r="A8" s="11" t="s">
        <v>191</v>
      </c>
      <c r="B8" s="26">
        <v>180</v>
      </c>
      <c r="C8" s="8"/>
      <c r="D8" s="8"/>
      <c r="E8" s="8"/>
      <c r="F8" s="8"/>
      <c r="G8" s="8"/>
      <c r="H8" s="8"/>
      <c r="I8" s="8"/>
    </row>
    <row r="9" spans="1:12" x14ac:dyDescent="0.35">
      <c r="A9" s="8"/>
      <c r="B9" s="8"/>
      <c r="C9" s="8"/>
      <c r="D9" s="8"/>
      <c r="E9" s="8"/>
      <c r="F9" s="8"/>
      <c r="G9" s="8"/>
      <c r="H9" s="8"/>
      <c r="I9" s="8"/>
    </row>
    <row r="10" spans="1:12" ht="15" thickBot="1" x14ac:dyDescent="0.4">
      <c r="A10" s="8" t="s">
        <v>192</v>
      </c>
      <c r="B10" s="8"/>
      <c r="C10" s="8"/>
      <c r="D10" s="8"/>
      <c r="E10" s="8"/>
      <c r="F10" s="8"/>
      <c r="G10" s="8"/>
      <c r="H10" s="8"/>
      <c r="I10" s="8"/>
    </row>
    <row r="11" spans="1:12" x14ac:dyDescent="0.35">
      <c r="A11" s="12"/>
      <c r="B11" s="12" t="s">
        <v>197</v>
      </c>
      <c r="C11" s="12" t="s">
        <v>198</v>
      </c>
      <c r="D11" s="12" t="s">
        <v>199</v>
      </c>
      <c r="E11" s="12" t="s">
        <v>200</v>
      </c>
      <c r="F11" s="12" t="s">
        <v>201</v>
      </c>
      <c r="G11" s="8"/>
      <c r="H11" s="8"/>
      <c r="I11" s="8"/>
    </row>
    <row r="12" spans="1:12" x14ac:dyDescent="0.35">
      <c r="A12" s="10" t="s">
        <v>193</v>
      </c>
      <c r="B12" s="10">
        <v>1</v>
      </c>
      <c r="C12" s="10">
        <v>3.6992795112607455</v>
      </c>
      <c r="D12" s="10">
        <v>3.6992795112607455</v>
      </c>
      <c r="E12" s="10">
        <v>1998.7066859187501</v>
      </c>
      <c r="F12" s="10">
        <v>1.0414034602887167E-98</v>
      </c>
      <c r="G12" s="8"/>
      <c r="H12" s="8"/>
      <c r="I12" s="8"/>
    </row>
    <row r="13" spans="1:12" x14ac:dyDescent="0.35">
      <c r="A13" s="10" t="s">
        <v>194</v>
      </c>
      <c r="B13" s="24">
        <v>178</v>
      </c>
      <c r="C13" s="10">
        <v>0.32944891696388734</v>
      </c>
      <c r="D13" s="10">
        <v>1.8508366121566704E-3</v>
      </c>
      <c r="E13" s="10"/>
      <c r="F13" s="10"/>
      <c r="G13" s="8"/>
      <c r="H13" s="8"/>
      <c r="I13" s="8"/>
    </row>
    <row r="14" spans="1:12" ht="15" thickBot="1" x14ac:dyDescent="0.4">
      <c r="A14" s="11" t="s">
        <v>195</v>
      </c>
      <c r="B14" s="29">
        <v>179</v>
      </c>
      <c r="C14" s="11">
        <v>4.0287284282246327</v>
      </c>
      <c r="D14" s="11"/>
      <c r="E14" s="11"/>
      <c r="F14" s="11"/>
      <c r="G14" s="8"/>
      <c r="H14" s="8"/>
      <c r="I14" s="8"/>
    </row>
    <row r="15" spans="1:12" ht="15" thickBot="1" x14ac:dyDescent="0.4">
      <c r="A15" s="8"/>
      <c r="B15" s="8"/>
      <c r="C15" s="8"/>
      <c r="D15" s="8"/>
      <c r="E15" s="8"/>
      <c r="F15" s="8"/>
      <c r="G15" s="8"/>
      <c r="H15" s="8"/>
      <c r="I15" s="8"/>
    </row>
    <row r="16" spans="1:12" x14ac:dyDescent="0.35">
      <c r="A16" s="12"/>
      <c r="B16" s="12" t="s">
        <v>202</v>
      </c>
      <c r="C16" s="12" t="s">
        <v>190</v>
      </c>
      <c r="D16" s="12" t="s">
        <v>203</v>
      </c>
      <c r="E16" s="12" t="s">
        <v>204</v>
      </c>
      <c r="F16" s="12" t="s">
        <v>205</v>
      </c>
      <c r="G16" s="12" t="s">
        <v>206</v>
      </c>
    </row>
    <row r="17" spans="1:9" x14ac:dyDescent="0.35">
      <c r="A17" s="10" t="s">
        <v>196</v>
      </c>
      <c r="B17" s="32">
        <v>9.6579863294946975</v>
      </c>
      <c r="C17" s="24">
        <v>6.4400593789000916E-3</v>
      </c>
      <c r="D17" s="34">
        <v>1499.6734907658881</v>
      </c>
      <c r="E17" s="13">
        <v>0</v>
      </c>
      <c r="F17" s="32">
        <v>9.6452776393952568</v>
      </c>
      <c r="G17" s="32">
        <v>9.6706950195941381</v>
      </c>
    </row>
    <row r="18" spans="1:9" ht="15" thickBot="1" x14ac:dyDescent="0.4">
      <c r="A18" s="11" t="s">
        <v>184</v>
      </c>
      <c r="B18" s="33">
        <v>2.7589710351869786E-3</v>
      </c>
      <c r="C18" s="25">
        <v>6.1712424439982463E-5</v>
      </c>
      <c r="D18" s="35">
        <v>44.706897520614774</v>
      </c>
      <c r="E18" s="16">
        <v>1.0414034602886872E-98</v>
      </c>
      <c r="F18" s="33">
        <v>2.6371889162111039E-3</v>
      </c>
      <c r="G18" s="33">
        <v>2.8807531541628533E-3</v>
      </c>
    </row>
    <row r="19" spans="1:9" x14ac:dyDescent="0.35">
      <c r="A19" s="8"/>
      <c r="B19" s="8"/>
      <c r="C19" s="8"/>
      <c r="D19" s="8"/>
      <c r="E19" s="8"/>
      <c r="F19" s="8"/>
      <c r="G19" s="8"/>
      <c r="H19" s="8"/>
      <c r="I19" s="8"/>
    </row>
    <row r="20" spans="1:9" x14ac:dyDescent="0.35">
      <c r="A20" s="8"/>
      <c r="B20" s="8"/>
      <c r="C20" s="8"/>
      <c r="D20" s="8"/>
      <c r="E20" s="8"/>
      <c r="F20" s="8"/>
      <c r="G20" s="8"/>
      <c r="H20" s="8"/>
      <c r="I20" s="8"/>
    </row>
    <row r="21" spans="1:9" x14ac:dyDescent="0.35">
      <c r="A21" s="8"/>
      <c r="B21" s="8"/>
      <c r="C21" s="8"/>
      <c r="D21" s="8"/>
      <c r="E21" s="8"/>
      <c r="F21" s="8"/>
      <c r="G21" s="8"/>
      <c r="H21" s="8"/>
      <c r="I21" s="8"/>
    </row>
    <row r="22" spans="1:9" x14ac:dyDescent="0.35">
      <c r="A22" s="8" t="s">
        <v>207</v>
      </c>
      <c r="B22" s="8"/>
      <c r="C22" s="8"/>
      <c r="D22" s="8"/>
      <c r="E22" s="8"/>
      <c r="F22" s="8"/>
      <c r="G22" s="8"/>
      <c r="H22" s="8"/>
      <c r="I22" s="8"/>
    </row>
    <row r="23" spans="1:9" ht="15" thickBot="1" x14ac:dyDescent="0.4">
      <c r="A23" s="8"/>
      <c r="B23" s="8"/>
      <c r="C23" s="8"/>
      <c r="D23" s="8"/>
      <c r="E23" s="8"/>
      <c r="F23" s="8"/>
      <c r="G23" s="8"/>
      <c r="H23" s="8"/>
      <c r="I23" s="8"/>
    </row>
    <row r="24" spans="1:9" x14ac:dyDescent="0.35">
      <c r="A24" s="12" t="s">
        <v>208</v>
      </c>
      <c r="B24" s="12" t="s">
        <v>213</v>
      </c>
      <c r="C24" s="12" t="s">
        <v>210</v>
      </c>
      <c r="D24" s="8"/>
      <c r="E24" s="8"/>
      <c r="F24" s="8"/>
      <c r="G24" s="8"/>
      <c r="H24" s="8"/>
      <c r="I24" s="8"/>
    </row>
    <row r="25" spans="1:9" x14ac:dyDescent="0.35">
      <c r="A25" s="10">
        <v>1</v>
      </c>
      <c r="B25" s="24">
        <v>9.660745300529884</v>
      </c>
      <c r="C25" s="24">
        <v>-7.09416229845381E-2</v>
      </c>
      <c r="D25" s="8"/>
      <c r="E25" s="8"/>
      <c r="F25" s="8"/>
      <c r="G25" s="8"/>
      <c r="H25" s="8"/>
      <c r="I25" s="8"/>
    </row>
    <row r="26" spans="1:9" x14ac:dyDescent="0.35">
      <c r="A26" s="10">
        <v>2</v>
      </c>
      <c r="B26" s="24">
        <v>9.6635042715650723</v>
      </c>
      <c r="C26" s="24">
        <v>-5.8018523887579221E-2</v>
      </c>
      <c r="D26" s="8"/>
      <c r="E26" s="8"/>
      <c r="F26" s="8"/>
      <c r="G26" s="8"/>
      <c r="H26" s="8"/>
      <c r="I26" s="8"/>
    </row>
    <row r="27" spans="1:9" x14ac:dyDescent="0.35">
      <c r="A27" s="10">
        <v>3</v>
      </c>
      <c r="B27" s="24">
        <v>9.6662632426002588</v>
      </c>
      <c r="C27" s="24">
        <v>-5.8153969150382068E-2</v>
      </c>
      <c r="D27" s="8"/>
      <c r="E27" s="8"/>
      <c r="F27" s="8"/>
      <c r="G27" s="8"/>
      <c r="H27" s="8"/>
      <c r="I27" s="8"/>
    </row>
    <row r="28" spans="1:9" x14ac:dyDescent="0.35">
      <c r="A28" s="10">
        <v>4</v>
      </c>
      <c r="B28" s="24">
        <v>9.6690222136354453</v>
      </c>
      <c r="C28" s="24">
        <v>7.798695206424533E-2</v>
      </c>
      <c r="D28" s="8"/>
      <c r="E28" s="8"/>
      <c r="F28" s="8"/>
      <c r="G28" s="8"/>
      <c r="H28" s="8"/>
      <c r="I28" s="8"/>
    </row>
    <row r="29" spans="1:9" x14ac:dyDescent="0.35">
      <c r="A29" s="10">
        <v>5</v>
      </c>
      <c r="B29" s="24">
        <v>9.6717811846706319</v>
      </c>
      <c r="C29" s="24">
        <v>-3.8987491557429976E-2</v>
      </c>
      <c r="D29" s="8"/>
      <c r="E29" s="8"/>
      <c r="F29" s="8"/>
      <c r="G29" s="8"/>
      <c r="H29" s="8"/>
      <c r="I29" s="8"/>
    </row>
    <row r="30" spans="1:9" x14ac:dyDescent="0.35">
      <c r="A30" s="10">
        <v>6</v>
      </c>
      <c r="B30" s="24">
        <v>9.6745401557058202</v>
      </c>
      <c r="C30" s="24">
        <v>-8.0230735966360101E-2</v>
      </c>
      <c r="D30" s="8"/>
      <c r="E30" s="8"/>
      <c r="F30" s="8"/>
      <c r="G30" s="8"/>
      <c r="H30" s="8"/>
      <c r="I30" s="8"/>
    </row>
    <row r="31" spans="1:9" x14ac:dyDescent="0.35">
      <c r="A31" s="10">
        <v>7</v>
      </c>
      <c r="B31" s="24">
        <v>9.6772991267410067</v>
      </c>
      <c r="C31" s="24">
        <v>1.3861166914761469E-2</v>
      </c>
      <c r="D31" s="8"/>
      <c r="E31" s="8"/>
      <c r="F31" s="8"/>
      <c r="G31" s="8"/>
      <c r="H31" s="8"/>
      <c r="I31" s="8"/>
    </row>
    <row r="32" spans="1:9" x14ac:dyDescent="0.35">
      <c r="A32" s="10">
        <v>8</v>
      </c>
      <c r="B32" s="24">
        <v>9.6800580977761932</v>
      </c>
      <c r="C32" s="24">
        <v>-4.9364005198095029E-2</v>
      </c>
      <c r="D32" s="8"/>
      <c r="E32" s="8"/>
      <c r="F32" s="8"/>
      <c r="G32" s="8"/>
      <c r="H32" s="8"/>
      <c r="I32" s="8"/>
    </row>
    <row r="33" spans="1:9" x14ac:dyDescent="0.35">
      <c r="A33" s="10">
        <v>9</v>
      </c>
      <c r="B33" s="24">
        <v>9.6828170688113797</v>
      </c>
      <c r="C33" s="24">
        <v>1.4322592327939532E-2</v>
      </c>
      <c r="D33" s="8"/>
      <c r="E33" s="8"/>
      <c r="F33" s="8"/>
      <c r="G33" s="8"/>
      <c r="H33" s="8"/>
      <c r="I33" s="8"/>
    </row>
    <row r="34" spans="1:9" x14ac:dyDescent="0.35">
      <c r="A34" s="10">
        <v>10</v>
      </c>
      <c r="B34" s="24">
        <v>9.685576039846568</v>
      </c>
      <c r="C34" s="24">
        <v>-2.288697386337013E-2</v>
      </c>
      <c r="D34" s="8"/>
      <c r="E34" s="8"/>
      <c r="F34" s="8"/>
      <c r="G34" s="8"/>
      <c r="H34" s="8"/>
      <c r="I34" s="8"/>
    </row>
    <row r="35" spans="1:9" x14ac:dyDescent="0.35">
      <c r="A35" s="10">
        <v>11</v>
      </c>
      <c r="B35" s="24">
        <v>9.6883350108817545</v>
      </c>
      <c r="C35" s="24">
        <v>-4.4525334387810034E-2</v>
      </c>
      <c r="D35" s="8"/>
      <c r="E35" s="8"/>
      <c r="F35" s="8"/>
      <c r="G35" s="8"/>
      <c r="H35" s="8"/>
      <c r="I35" s="8"/>
    </row>
    <row r="36" spans="1:9" x14ac:dyDescent="0.35">
      <c r="A36" s="10">
        <v>12</v>
      </c>
      <c r="B36" s="24">
        <v>9.691093981916941</v>
      </c>
      <c r="C36" s="24">
        <v>-5.0164488472628221E-3</v>
      </c>
      <c r="D36" s="8"/>
      <c r="E36" s="8"/>
      <c r="F36" s="8"/>
      <c r="G36" s="8"/>
      <c r="H36" s="8"/>
      <c r="I36" s="8"/>
    </row>
    <row r="37" spans="1:9" x14ac:dyDescent="0.35">
      <c r="A37" s="10">
        <v>13</v>
      </c>
      <c r="B37" s="24">
        <v>9.6938529529521276</v>
      </c>
      <c r="C37" s="24">
        <v>-4.6355026135291411E-2</v>
      </c>
      <c r="D37" s="8"/>
      <c r="E37" s="8"/>
      <c r="F37" s="8"/>
      <c r="G37" s="8"/>
      <c r="H37" s="8"/>
      <c r="I37" s="8"/>
    </row>
    <row r="38" spans="1:9" x14ac:dyDescent="0.35">
      <c r="A38" s="10">
        <v>14</v>
      </c>
      <c r="B38" s="24">
        <v>9.6966119239873159</v>
      </c>
      <c r="C38" s="24">
        <v>7.3265260882315886E-3</v>
      </c>
      <c r="D38" s="8"/>
      <c r="E38" s="8"/>
      <c r="F38" s="8"/>
      <c r="G38" s="8"/>
      <c r="H38" s="8"/>
      <c r="I38" s="8"/>
    </row>
    <row r="39" spans="1:9" x14ac:dyDescent="0.35">
      <c r="A39" s="10">
        <v>15</v>
      </c>
      <c r="B39" s="24">
        <v>9.6993708950225024</v>
      </c>
      <c r="C39" s="24">
        <v>-3.3996379148852895E-3</v>
      </c>
      <c r="D39" s="8"/>
      <c r="E39" s="8"/>
      <c r="F39" s="8"/>
      <c r="G39" s="8"/>
      <c r="H39" s="8"/>
      <c r="I39" s="8"/>
    </row>
    <row r="40" spans="1:9" x14ac:dyDescent="0.35">
      <c r="A40" s="10">
        <v>16</v>
      </c>
      <c r="B40" s="24">
        <v>9.7021298660576889</v>
      </c>
      <c r="C40" s="24">
        <v>9.9048067653869865E-2</v>
      </c>
      <c r="D40" s="8"/>
      <c r="E40" s="8"/>
      <c r="F40" s="8"/>
      <c r="G40" s="8"/>
      <c r="H40" s="8"/>
      <c r="I40" s="8"/>
    </row>
    <row r="41" spans="1:9" x14ac:dyDescent="0.35">
      <c r="A41" s="10">
        <v>17</v>
      </c>
      <c r="B41" s="24">
        <v>9.7048888370928754</v>
      </c>
      <c r="C41" s="24">
        <v>3.5197043501808523E-2</v>
      </c>
      <c r="D41" s="8"/>
      <c r="E41" s="8"/>
      <c r="F41" s="8"/>
      <c r="G41" s="8"/>
      <c r="H41" s="8"/>
      <c r="I41" s="8"/>
    </row>
    <row r="42" spans="1:9" x14ac:dyDescent="0.35">
      <c r="A42" s="10">
        <v>18</v>
      </c>
      <c r="B42" s="24">
        <v>9.7076478081280637</v>
      </c>
      <c r="C42" s="24">
        <v>-3.8491152546722418E-2</v>
      </c>
      <c r="D42" s="8"/>
      <c r="E42" s="8"/>
      <c r="F42" s="8"/>
      <c r="G42" s="8"/>
      <c r="H42" s="8"/>
      <c r="I42" s="8"/>
    </row>
    <row r="43" spans="1:9" x14ac:dyDescent="0.35">
      <c r="A43" s="10">
        <v>19</v>
      </c>
      <c r="B43" s="24">
        <v>9.7104067791632502</v>
      </c>
      <c r="C43" s="24">
        <v>4.5624303905002606E-2</v>
      </c>
      <c r="D43" s="8"/>
      <c r="E43" s="8"/>
      <c r="F43" s="8"/>
      <c r="G43" s="8"/>
      <c r="H43" s="8"/>
      <c r="I43" s="8"/>
    </row>
    <row r="44" spans="1:9" x14ac:dyDescent="0.35">
      <c r="A44" s="10">
        <v>20</v>
      </c>
      <c r="B44" s="24">
        <v>9.7131657501984368</v>
      </c>
      <c r="C44" s="24">
        <v>-1.1257456681335043E-4</v>
      </c>
      <c r="D44" s="8"/>
      <c r="E44" s="8"/>
      <c r="F44" s="8"/>
      <c r="G44" s="8"/>
      <c r="H44" s="8"/>
      <c r="I44" s="8"/>
    </row>
    <row r="45" spans="1:9" x14ac:dyDescent="0.35">
      <c r="A45" s="10">
        <v>21</v>
      </c>
      <c r="B45" s="24">
        <v>9.7159247212336233</v>
      </c>
      <c r="C45" s="24">
        <v>4.1322449079498114E-2</v>
      </c>
      <c r="D45" s="8"/>
      <c r="E45" s="8"/>
      <c r="F45" s="8"/>
      <c r="G45" s="8"/>
      <c r="H45" s="8"/>
      <c r="I45" s="8"/>
    </row>
    <row r="46" spans="1:9" x14ac:dyDescent="0.35">
      <c r="A46" s="10">
        <v>22</v>
      </c>
      <c r="B46" s="24">
        <v>9.7186836922688116</v>
      </c>
      <c r="C46" s="24">
        <v>-7.7498670928868307E-3</v>
      </c>
      <c r="D46" s="8"/>
      <c r="E46" s="8"/>
      <c r="F46" s="8"/>
      <c r="G46" s="8"/>
      <c r="H46" s="8"/>
      <c r="I46" s="8"/>
    </row>
    <row r="47" spans="1:9" x14ac:dyDescent="0.35">
      <c r="A47" s="10">
        <v>23</v>
      </c>
      <c r="B47" s="24">
        <v>9.7214426633039981</v>
      </c>
      <c r="C47" s="24">
        <v>-7.7847830521466932E-3</v>
      </c>
      <c r="D47" s="8"/>
      <c r="E47" s="8"/>
      <c r="F47" s="8"/>
      <c r="G47" s="8"/>
      <c r="H47" s="8"/>
      <c r="I47" s="8"/>
    </row>
    <row r="48" spans="1:9" x14ac:dyDescent="0.35">
      <c r="A48" s="10">
        <v>24</v>
      </c>
      <c r="B48" s="24">
        <v>9.7242016343391846</v>
      </c>
      <c r="C48" s="24">
        <v>1.6296289702481204E-2</v>
      </c>
      <c r="D48" s="8"/>
      <c r="E48" s="8"/>
      <c r="F48" s="8"/>
      <c r="G48" s="8"/>
      <c r="H48" s="8"/>
      <c r="I48" s="8"/>
    </row>
    <row r="49" spans="1:9" x14ac:dyDescent="0.35">
      <c r="A49" s="10">
        <v>25</v>
      </c>
      <c r="B49" s="24">
        <v>9.7269606053743711</v>
      </c>
      <c r="C49" s="24">
        <v>-4.8743865168626499E-2</v>
      </c>
      <c r="D49" s="8"/>
      <c r="E49" s="8"/>
      <c r="F49" s="8"/>
      <c r="G49" s="8"/>
      <c r="H49" s="8"/>
      <c r="I49" s="8"/>
    </row>
    <row r="50" spans="1:9" x14ac:dyDescent="0.35">
      <c r="A50" s="10">
        <v>26</v>
      </c>
      <c r="B50" s="24">
        <v>9.7297195764095594</v>
      </c>
      <c r="C50" s="24">
        <v>2.6659111088356724E-2</v>
      </c>
      <c r="D50" s="8"/>
      <c r="E50" s="8"/>
      <c r="F50" s="8"/>
      <c r="G50" s="8"/>
      <c r="H50" s="8"/>
      <c r="I50" s="8"/>
    </row>
    <row r="51" spans="1:9" x14ac:dyDescent="0.35">
      <c r="A51" s="10">
        <v>27</v>
      </c>
      <c r="B51" s="24">
        <v>9.7324785474447459</v>
      </c>
      <c r="C51" s="24">
        <v>-8.5364087558215118E-3</v>
      </c>
      <c r="D51" s="8"/>
      <c r="E51" s="8"/>
      <c r="F51" s="8"/>
      <c r="G51" s="8"/>
      <c r="H51" s="8"/>
      <c r="I51" s="8"/>
    </row>
    <row r="52" spans="1:9" x14ac:dyDescent="0.35">
      <c r="A52" s="10">
        <v>28</v>
      </c>
      <c r="B52" s="24">
        <v>9.7352375184799325</v>
      </c>
      <c r="C52" s="24">
        <v>8.6714546073677568E-2</v>
      </c>
      <c r="D52" s="8"/>
      <c r="E52" s="8"/>
      <c r="F52" s="8"/>
      <c r="G52" s="8"/>
      <c r="H52" s="8"/>
      <c r="I52" s="8"/>
    </row>
    <row r="53" spans="1:9" x14ac:dyDescent="0.35">
      <c r="A53" s="10">
        <v>29</v>
      </c>
      <c r="B53" s="24">
        <v>9.737996489515119</v>
      </c>
      <c r="C53" s="24">
        <v>2.9041129883111694E-2</v>
      </c>
      <c r="D53" s="8"/>
      <c r="E53" s="8"/>
      <c r="F53" s="8"/>
      <c r="G53" s="8"/>
      <c r="H53" s="8"/>
      <c r="I53" s="8"/>
    </row>
    <row r="54" spans="1:9" x14ac:dyDescent="0.35">
      <c r="A54" s="10">
        <v>30</v>
      </c>
      <c r="B54" s="24">
        <v>9.7407554605503073</v>
      </c>
      <c r="C54" s="24">
        <v>1.1967340096083134E-2</v>
      </c>
      <c r="D54" s="8"/>
      <c r="E54" s="8"/>
      <c r="F54" s="8"/>
      <c r="G54" s="8"/>
      <c r="H54" s="8"/>
      <c r="I54" s="8"/>
    </row>
    <row r="55" spans="1:9" x14ac:dyDescent="0.35">
      <c r="A55" s="10">
        <v>31</v>
      </c>
      <c r="B55" s="24">
        <v>9.7435144315854938</v>
      </c>
      <c r="C55" s="24">
        <v>3.8878357572576405E-2</v>
      </c>
      <c r="D55" s="8"/>
      <c r="E55" s="8"/>
      <c r="F55" s="8"/>
      <c r="G55" s="8"/>
      <c r="H55" s="8"/>
      <c r="I55" s="8"/>
    </row>
    <row r="56" spans="1:9" x14ac:dyDescent="0.35">
      <c r="A56" s="10">
        <v>32</v>
      </c>
      <c r="B56" s="24">
        <v>9.7462734026206803</v>
      </c>
      <c r="C56" s="24">
        <v>3.0718033868009087E-3</v>
      </c>
      <c r="D56" s="8"/>
      <c r="E56" s="8"/>
      <c r="F56" s="8"/>
      <c r="G56" s="8"/>
      <c r="H56" s="8"/>
      <c r="I56" s="8"/>
    </row>
    <row r="57" spans="1:9" x14ac:dyDescent="0.35">
      <c r="A57" s="10">
        <v>33</v>
      </c>
      <c r="B57" s="24">
        <v>9.7490323736558686</v>
      </c>
      <c r="C57" s="24">
        <v>4.1902192640929314E-2</v>
      </c>
      <c r="D57" s="8"/>
      <c r="E57" s="8"/>
      <c r="F57" s="8"/>
      <c r="G57" s="8"/>
      <c r="H57" s="8"/>
      <c r="I57" s="8"/>
    </row>
    <row r="58" spans="1:9" x14ac:dyDescent="0.35">
      <c r="A58" s="10">
        <v>34</v>
      </c>
      <c r="B58" s="24">
        <v>9.7517913446910551</v>
      </c>
      <c r="C58" s="24">
        <v>-8.5899220882694749E-3</v>
      </c>
      <c r="D58" s="8"/>
      <c r="E58" s="8"/>
      <c r="F58" s="8"/>
      <c r="G58" s="8"/>
      <c r="H58" s="8"/>
      <c r="I58" s="8"/>
    </row>
    <row r="59" spans="1:9" x14ac:dyDescent="0.35">
      <c r="A59" s="10">
        <v>35</v>
      </c>
      <c r="B59" s="24">
        <v>9.7545503157262416</v>
      </c>
      <c r="C59" s="24">
        <v>1.0422016953141267E-2</v>
      </c>
      <c r="D59" s="8"/>
      <c r="E59" s="8"/>
      <c r="F59" s="8"/>
      <c r="G59" s="8"/>
      <c r="H59" s="8"/>
      <c r="I59" s="8"/>
    </row>
    <row r="60" spans="1:9" x14ac:dyDescent="0.35">
      <c r="A60" s="10">
        <v>36</v>
      </c>
      <c r="B60" s="24">
        <v>9.7573092867614282</v>
      </c>
      <c r="C60" s="24">
        <v>-4.6446239598836314E-3</v>
      </c>
      <c r="D60" s="8"/>
      <c r="E60" s="8"/>
      <c r="F60" s="8"/>
      <c r="G60" s="8"/>
      <c r="H60" s="8"/>
      <c r="I60" s="8"/>
    </row>
    <row r="61" spans="1:9" x14ac:dyDescent="0.35">
      <c r="A61" s="10">
        <v>37</v>
      </c>
      <c r="B61" s="24">
        <v>9.7600682577966165</v>
      </c>
      <c r="C61" s="24">
        <v>-8.7999182379991936E-3</v>
      </c>
      <c r="D61" s="8"/>
      <c r="E61" s="8"/>
      <c r="F61" s="8"/>
      <c r="G61" s="8"/>
      <c r="H61" s="8"/>
      <c r="I61" s="8"/>
    </row>
    <row r="62" spans="1:9" x14ac:dyDescent="0.35">
      <c r="A62" s="10">
        <v>38</v>
      </c>
      <c r="B62" s="24">
        <v>9.762827228831803</v>
      </c>
      <c r="C62" s="24">
        <v>3.6354806895010583E-2</v>
      </c>
      <c r="D62" s="8"/>
      <c r="E62" s="8"/>
      <c r="F62" s="8"/>
      <c r="G62" s="8"/>
      <c r="H62" s="8"/>
      <c r="I62" s="8"/>
    </row>
    <row r="63" spans="1:9" x14ac:dyDescent="0.35">
      <c r="A63" s="10">
        <v>39</v>
      </c>
      <c r="B63" s="24">
        <v>9.7655861998669895</v>
      </c>
      <c r="C63" s="24">
        <v>-2.6089247440092223E-2</v>
      </c>
      <c r="D63" s="8"/>
      <c r="E63" s="8"/>
      <c r="F63" s="8"/>
      <c r="G63" s="8"/>
      <c r="H63" s="8"/>
      <c r="I63" s="8"/>
    </row>
    <row r="64" spans="1:9" x14ac:dyDescent="0.35">
      <c r="A64" s="10">
        <v>40</v>
      </c>
      <c r="B64" s="24">
        <v>9.768345170902176</v>
      </c>
      <c r="C64" s="24">
        <v>0.11764010649780943</v>
      </c>
      <c r="D64" s="8"/>
      <c r="E64" s="8"/>
      <c r="F64" s="8"/>
      <c r="G64" s="8"/>
      <c r="H64" s="8"/>
      <c r="I64" s="8"/>
    </row>
    <row r="65" spans="1:9" x14ac:dyDescent="0.35">
      <c r="A65" s="10">
        <v>41</v>
      </c>
      <c r="B65" s="24">
        <v>9.7711041419373643</v>
      </c>
      <c r="C65" s="24">
        <v>1.2529482123284197E-2</v>
      </c>
      <c r="D65" s="8"/>
      <c r="E65" s="8"/>
      <c r="F65" s="8"/>
      <c r="G65" s="8"/>
      <c r="H65" s="8"/>
      <c r="I65" s="8"/>
    </row>
    <row r="66" spans="1:9" x14ac:dyDescent="0.35">
      <c r="A66" s="10">
        <v>42</v>
      </c>
      <c r="B66" s="24">
        <v>9.7738631129725508</v>
      </c>
      <c r="C66" s="24">
        <v>-3.1248786024507424E-2</v>
      </c>
      <c r="D66" s="8"/>
      <c r="E66" s="8"/>
      <c r="F66" s="8"/>
      <c r="G66" s="8"/>
      <c r="H66" s="8"/>
      <c r="I66" s="8"/>
    </row>
    <row r="67" spans="1:9" x14ac:dyDescent="0.35">
      <c r="A67" s="10">
        <v>43</v>
      </c>
      <c r="B67" s="24">
        <v>9.7766220840077374</v>
      </c>
      <c r="C67" s="24">
        <v>4.8957979651865102E-2</v>
      </c>
      <c r="D67" s="8"/>
      <c r="E67" s="8"/>
      <c r="F67" s="8"/>
      <c r="G67" s="8"/>
      <c r="H67" s="8"/>
      <c r="I67" s="8"/>
    </row>
    <row r="68" spans="1:9" x14ac:dyDescent="0.35">
      <c r="A68" s="10">
        <v>44</v>
      </c>
      <c r="B68" s="24">
        <v>9.7793810550429239</v>
      </c>
      <c r="C68" s="24">
        <v>3.12233700131479E-2</v>
      </c>
      <c r="D68" s="8"/>
      <c r="E68" s="8"/>
      <c r="F68" s="8"/>
      <c r="G68" s="8"/>
      <c r="H68" s="8"/>
      <c r="I68" s="8"/>
    </row>
    <row r="69" spans="1:9" x14ac:dyDescent="0.35">
      <c r="A69" s="10">
        <v>45</v>
      </c>
      <c r="B69" s="24">
        <v>9.7821400260781122</v>
      </c>
      <c r="C69" s="24">
        <v>2.4065403651462702E-2</v>
      </c>
      <c r="D69" s="8"/>
      <c r="E69" s="8"/>
      <c r="F69" s="8"/>
      <c r="G69" s="8"/>
      <c r="H69" s="8"/>
      <c r="I69" s="8"/>
    </row>
    <row r="70" spans="1:9" x14ac:dyDescent="0.35">
      <c r="A70" s="10">
        <v>46</v>
      </c>
      <c r="B70" s="24">
        <v>9.7848989971132987</v>
      </c>
      <c r="C70" s="24">
        <v>1.0112079086745496E-2</v>
      </c>
      <c r="D70" s="8"/>
      <c r="E70" s="8"/>
      <c r="F70" s="8"/>
      <c r="G70" s="8"/>
      <c r="H70" s="8"/>
      <c r="I70" s="8"/>
    </row>
    <row r="71" spans="1:9" x14ac:dyDescent="0.35">
      <c r="A71" s="10">
        <v>47</v>
      </c>
      <c r="B71" s="24">
        <v>9.7876579681484852</v>
      </c>
      <c r="C71" s="24">
        <v>8.0773218934133695E-3</v>
      </c>
      <c r="D71" s="8"/>
      <c r="E71" s="8"/>
      <c r="F71" s="8"/>
      <c r="G71" s="8"/>
      <c r="H71" s="8"/>
      <c r="I71" s="8"/>
    </row>
    <row r="72" spans="1:9" x14ac:dyDescent="0.35">
      <c r="A72" s="10">
        <v>48</v>
      </c>
      <c r="B72" s="24">
        <v>9.7904169391836717</v>
      </c>
      <c r="C72" s="24">
        <v>-1.453551125269037E-2</v>
      </c>
      <c r="D72" s="8"/>
      <c r="E72" s="8"/>
      <c r="F72" s="8"/>
      <c r="G72" s="8"/>
      <c r="H72" s="8"/>
      <c r="I72" s="8"/>
    </row>
    <row r="73" spans="1:9" x14ac:dyDescent="0.35">
      <c r="A73" s="10">
        <v>49</v>
      </c>
      <c r="B73" s="24">
        <v>9.79317591021886</v>
      </c>
      <c r="C73" s="24">
        <v>-7.9089890701631305E-3</v>
      </c>
      <c r="D73" s="8"/>
      <c r="E73" s="8"/>
      <c r="F73" s="8"/>
      <c r="G73" s="8"/>
      <c r="H73" s="8"/>
      <c r="I73" s="8"/>
    </row>
    <row r="74" spans="1:9" x14ac:dyDescent="0.35">
      <c r="A74" s="10">
        <v>50</v>
      </c>
      <c r="B74" s="24">
        <v>9.7959348812540465</v>
      </c>
      <c r="C74" s="24">
        <v>2.9158603854069653E-2</v>
      </c>
      <c r="D74" s="8"/>
      <c r="E74" s="8"/>
      <c r="F74" s="8"/>
      <c r="G74" s="8"/>
      <c r="H74" s="8"/>
      <c r="I74" s="8"/>
    </row>
    <row r="75" spans="1:9" x14ac:dyDescent="0.35">
      <c r="A75" s="10">
        <v>51</v>
      </c>
      <c r="B75" s="24">
        <v>9.7986938522892331</v>
      </c>
      <c r="C75" s="24">
        <v>-1.2639396645200307E-2</v>
      </c>
      <c r="D75" s="8"/>
      <c r="E75" s="8"/>
      <c r="F75" s="8"/>
      <c r="G75" s="8"/>
      <c r="H75" s="8"/>
      <c r="I75" s="8"/>
    </row>
    <row r="76" spans="1:9" x14ac:dyDescent="0.35">
      <c r="A76" s="10">
        <v>52</v>
      </c>
      <c r="B76" s="24">
        <v>9.8014528233244196</v>
      </c>
      <c r="C76" s="24">
        <v>0.10537913046209901</v>
      </c>
      <c r="D76" s="8"/>
      <c r="E76" s="8"/>
      <c r="F76" s="8"/>
      <c r="G76" s="8"/>
      <c r="H76" s="8"/>
      <c r="I76" s="8"/>
    </row>
    <row r="77" spans="1:9" x14ac:dyDescent="0.35">
      <c r="A77" s="10">
        <v>53</v>
      </c>
      <c r="B77" s="24">
        <v>9.8042117943596079</v>
      </c>
      <c r="C77" s="24">
        <v>-1.3109372418270482E-2</v>
      </c>
      <c r="D77" s="8"/>
      <c r="E77" s="8"/>
      <c r="F77" s="8"/>
      <c r="G77" s="8"/>
      <c r="H77" s="8"/>
      <c r="I77" s="8"/>
    </row>
    <row r="78" spans="1:9" x14ac:dyDescent="0.35">
      <c r="A78" s="10">
        <v>54</v>
      </c>
      <c r="B78" s="24">
        <v>9.8069707653947944</v>
      </c>
      <c r="C78" s="24">
        <v>-5.5993572080991427E-2</v>
      </c>
      <c r="D78" s="8"/>
      <c r="E78" s="8"/>
      <c r="F78" s="8"/>
      <c r="G78" s="8"/>
      <c r="H78" s="8"/>
      <c r="I78" s="8"/>
    </row>
    <row r="79" spans="1:9" x14ac:dyDescent="0.35">
      <c r="A79" s="10">
        <v>55</v>
      </c>
      <c r="B79" s="24">
        <v>9.8097297364299809</v>
      </c>
      <c r="C79" s="24">
        <v>5.3664722539702225E-2</v>
      </c>
      <c r="D79" s="8"/>
      <c r="E79" s="8"/>
      <c r="F79" s="8"/>
      <c r="G79" s="8"/>
      <c r="H79" s="8"/>
      <c r="I79" s="8"/>
    </row>
    <row r="80" spans="1:9" x14ac:dyDescent="0.35">
      <c r="A80" s="10">
        <v>56</v>
      </c>
      <c r="B80" s="24">
        <v>9.8124887074651674</v>
      </c>
      <c r="C80" s="24">
        <v>4.3510383452876056E-3</v>
      </c>
      <c r="D80" s="8"/>
      <c r="E80" s="8"/>
      <c r="F80" s="8"/>
      <c r="G80" s="8"/>
      <c r="H80" s="8"/>
      <c r="I80" s="8"/>
    </row>
    <row r="81" spans="1:9" x14ac:dyDescent="0.35">
      <c r="A81" s="10">
        <v>57</v>
      </c>
      <c r="B81" s="24">
        <v>9.8152476785003557</v>
      </c>
      <c r="C81" s="24">
        <v>-8.6460104704855212E-4</v>
      </c>
      <c r="D81" s="8"/>
      <c r="E81" s="8"/>
      <c r="F81" s="8"/>
      <c r="G81" s="8"/>
      <c r="H81" s="8"/>
      <c r="I81" s="8"/>
    </row>
    <row r="82" spans="1:9" x14ac:dyDescent="0.35">
      <c r="A82" s="10">
        <v>58</v>
      </c>
      <c r="B82" s="24">
        <v>9.8180066495355423</v>
      </c>
      <c r="C82" s="24">
        <v>5.7639591014257974E-4</v>
      </c>
      <c r="D82" s="8"/>
      <c r="E82" s="8"/>
      <c r="F82" s="8"/>
      <c r="G82" s="8"/>
      <c r="H82" s="8"/>
      <c r="I82" s="8"/>
    </row>
    <row r="83" spans="1:9" x14ac:dyDescent="0.35">
      <c r="A83" s="10">
        <v>59</v>
      </c>
      <c r="B83" s="24">
        <v>9.8207656205707288</v>
      </c>
      <c r="C83" s="24">
        <v>-1.3238459180511697E-2</v>
      </c>
      <c r="D83" s="8"/>
      <c r="E83" s="8"/>
      <c r="F83" s="8"/>
      <c r="G83" s="8"/>
      <c r="H83" s="8"/>
      <c r="I83" s="8"/>
    </row>
    <row r="84" spans="1:9" x14ac:dyDescent="0.35">
      <c r="A84" s="10">
        <v>60</v>
      </c>
      <c r="B84" s="24">
        <v>9.8235245916059171</v>
      </c>
      <c r="C84" s="24">
        <v>-7.3393674725856783E-3</v>
      </c>
      <c r="D84" s="8"/>
      <c r="E84" s="8"/>
      <c r="F84" s="8"/>
      <c r="G84" s="8"/>
      <c r="H84" s="8"/>
      <c r="I84" s="8"/>
    </row>
    <row r="85" spans="1:9" x14ac:dyDescent="0.35">
      <c r="A85" s="10">
        <v>61</v>
      </c>
      <c r="B85" s="24">
        <v>9.8262835626411036</v>
      </c>
      <c r="C85" s="24">
        <v>-2.1291256854075513E-2</v>
      </c>
      <c r="D85" s="8"/>
      <c r="E85" s="8"/>
      <c r="F85" s="8"/>
      <c r="G85" s="8"/>
      <c r="H85" s="8"/>
      <c r="I85" s="8"/>
    </row>
    <row r="86" spans="1:9" x14ac:dyDescent="0.35">
      <c r="A86" s="10">
        <v>62</v>
      </c>
      <c r="B86" s="24">
        <v>9.8290425336762901</v>
      </c>
      <c r="C86" s="24">
        <v>2.4655490676739333E-3</v>
      </c>
      <c r="D86" s="8"/>
      <c r="E86" s="8"/>
      <c r="F86" s="8"/>
      <c r="G86" s="8"/>
      <c r="H86" s="8"/>
      <c r="I86" s="8"/>
    </row>
    <row r="87" spans="1:9" x14ac:dyDescent="0.35">
      <c r="A87" s="10">
        <v>63</v>
      </c>
      <c r="B87" s="24">
        <v>9.8318015047114766</v>
      </c>
      <c r="C87" s="24">
        <v>5.7598977084847292E-3</v>
      </c>
      <c r="D87" s="8"/>
      <c r="E87" s="8"/>
      <c r="F87" s="8"/>
      <c r="G87" s="8"/>
      <c r="H87" s="8"/>
      <c r="I87" s="8"/>
    </row>
    <row r="88" spans="1:9" x14ac:dyDescent="0.35">
      <c r="A88" s="10">
        <v>64</v>
      </c>
      <c r="B88" s="24">
        <v>9.8345604757466649</v>
      </c>
      <c r="C88" s="24">
        <v>0.11805051874901551</v>
      </c>
      <c r="D88" s="8"/>
      <c r="E88" s="8"/>
      <c r="F88" s="8"/>
      <c r="G88" s="8"/>
      <c r="H88" s="8"/>
      <c r="I88" s="8"/>
    </row>
    <row r="89" spans="1:9" x14ac:dyDescent="0.35">
      <c r="A89" s="10">
        <v>65</v>
      </c>
      <c r="B89" s="24">
        <v>9.8373194467818514</v>
      </c>
      <c r="C89" s="24">
        <v>2.2999610352897548E-2</v>
      </c>
      <c r="D89" s="8"/>
      <c r="E89" s="8"/>
      <c r="F89" s="8"/>
      <c r="G89" s="8"/>
      <c r="H89" s="8"/>
      <c r="I89" s="8"/>
    </row>
    <row r="90" spans="1:9" x14ac:dyDescent="0.35">
      <c r="A90" s="10">
        <v>66</v>
      </c>
      <c r="B90" s="24">
        <v>9.840078417817038</v>
      </c>
      <c r="C90" s="24">
        <v>-3.54724148410277E-2</v>
      </c>
      <c r="D90" s="8"/>
      <c r="E90" s="8"/>
      <c r="F90" s="8"/>
      <c r="G90" s="8"/>
      <c r="H90" s="8"/>
      <c r="I90" s="8"/>
    </row>
    <row r="91" spans="1:9" x14ac:dyDescent="0.35">
      <c r="A91" s="10">
        <v>67</v>
      </c>
      <c r="B91" s="24">
        <v>9.8428373888522245</v>
      </c>
      <c r="C91" s="24">
        <v>6.2747961766049798E-2</v>
      </c>
      <c r="D91" s="8"/>
      <c r="E91" s="8"/>
      <c r="F91" s="8"/>
      <c r="G91" s="8"/>
      <c r="H91" s="8"/>
      <c r="I91" s="8"/>
    </row>
    <row r="92" spans="1:9" x14ac:dyDescent="0.35">
      <c r="A92" s="10">
        <v>68</v>
      </c>
      <c r="B92" s="24">
        <v>9.8455963598874128</v>
      </c>
      <c r="C92" s="24">
        <v>3.6461777963197051E-3</v>
      </c>
      <c r="D92" s="8"/>
      <c r="E92" s="8"/>
      <c r="F92" s="8"/>
      <c r="G92" s="8"/>
      <c r="H92" s="8"/>
      <c r="I92" s="8"/>
    </row>
    <row r="93" spans="1:9" x14ac:dyDescent="0.35">
      <c r="A93" s="10">
        <v>69</v>
      </c>
      <c r="B93" s="24">
        <v>9.8483553309225993</v>
      </c>
      <c r="C93" s="24">
        <v>3.0070791018157905E-2</v>
      </c>
      <c r="D93" s="8"/>
      <c r="E93" s="8"/>
      <c r="F93" s="8"/>
      <c r="G93" s="8"/>
      <c r="H93" s="8"/>
      <c r="I93" s="8"/>
    </row>
    <row r="94" spans="1:9" x14ac:dyDescent="0.35">
      <c r="A94" s="10">
        <v>70</v>
      </c>
      <c r="B94" s="24">
        <v>9.8511143019577858</v>
      </c>
      <c r="C94" s="24">
        <v>5.3340525725555921E-3</v>
      </c>
      <c r="D94" s="8"/>
      <c r="E94" s="8"/>
      <c r="F94" s="8"/>
      <c r="G94" s="8"/>
      <c r="H94" s="8"/>
      <c r="I94" s="8"/>
    </row>
    <row r="95" spans="1:9" x14ac:dyDescent="0.35">
      <c r="A95" s="10">
        <v>71</v>
      </c>
      <c r="B95" s="24">
        <v>9.8538732729929723</v>
      </c>
      <c r="C95" s="24">
        <v>-2.6133497895118651E-2</v>
      </c>
      <c r="D95" s="8"/>
      <c r="E95" s="8"/>
      <c r="F95" s="8"/>
      <c r="G95" s="8"/>
      <c r="H95" s="8"/>
      <c r="I95" s="8"/>
    </row>
    <row r="96" spans="1:9" x14ac:dyDescent="0.35">
      <c r="A96" s="10">
        <v>72</v>
      </c>
      <c r="B96" s="24">
        <v>9.8566322440281606</v>
      </c>
      <c r="C96" s="24">
        <v>2.056266655304384E-2</v>
      </c>
      <c r="D96" s="8"/>
      <c r="E96" s="8"/>
      <c r="F96" s="8"/>
      <c r="G96" s="8"/>
      <c r="H96" s="8"/>
      <c r="I96" s="8"/>
    </row>
    <row r="97" spans="1:9" x14ac:dyDescent="0.35">
      <c r="A97" s="10">
        <v>73</v>
      </c>
      <c r="B97" s="24">
        <v>9.8593912150633471</v>
      </c>
      <c r="C97" s="24">
        <v>-1.5388309362110775E-2</v>
      </c>
      <c r="D97" s="8"/>
      <c r="E97" s="8"/>
      <c r="F97" s="8"/>
      <c r="G97" s="8"/>
      <c r="H97" s="8"/>
      <c r="I97" s="8"/>
    </row>
    <row r="98" spans="1:9" x14ac:dyDescent="0.35">
      <c r="A98" s="10">
        <v>74</v>
      </c>
      <c r="B98" s="24">
        <v>9.8621501860985337</v>
      </c>
      <c r="C98" s="24">
        <v>5.8138103685472231E-3</v>
      </c>
      <c r="D98" s="8"/>
      <c r="E98" s="8"/>
      <c r="F98" s="8"/>
      <c r="G98" s="8"/>
      <c r="H98" s="8"/>
      <c r="I98" s="8"/>
    </row>
    <row r="99" spans="1:9" x14ac:dyDescent="0.35">
      <c r="A99" s="10">
        <v>75</v>
      </c>
      <c r="B99" s="24">
        <v>9.8649091571337202</v>
      </c>
      <c r="C99" s="24">
        <v>-7.3084873700679509E-3</v>
      </c>
      <c r="D99" s="8"/>
      <c r="E99" s="8"/>
      <c r="F99" s="8"/>
      <c r="G99" s="8"/>
      <c r="H99" s="8"/>
      <c r="I99" s="8"/>
    </row>
    <row r="100" spans="1:9" x14ac:dyDescent="0.35">
      <c r="A100" s="10">
        <v>76</v>
      </c>
      <c r="B100" s="24">
        <v>9.8676681281689085</v>
      </c>
      <c r="C100" s="24">
        <v>9.0922950593244067E-2</v>
      </c>
      <c r="D100" s="8"/>
      <c r="E100" s="8"/>
      <c r="F100" s="8"/>
      <c r="G100" s="8"/>
      <c r="H100" s="8"/>
      <c r="I100" s="8"/>
    </row>
    <row r="101" spans="1:9" x14ac:dyDescent="0.35">
      <c r="A101" s="10">
        <v>77</v>
      </c>
      <c r="B101" s="24">
        <v>9.870427099204095</v>
      </c>
      <c r="C101" s="24">
        <v>2.6527909106075498E-3</v>
      </c>
      <c r="D101" s="8"/>
      <c r="E101" s="8"/>
      <c r="F101" s="8"/>
      <c r="G101" s="8"/>
      <c r="H101" s="8"/>
      <c r="I101" s="8"/>
    </row>
    <row r="102" spans="1:9" x14ac:dyDescent="0.35">
      <c r="A102" s="10">
        <v>78</v>
      </c>
      <c r="B102" s="24">
        <v>9.8731860702392815</v>
      </c>
      <c r="C102" s="24">
        <v>-1.804877864420007E-2</v>
      </c>
      <c r="D102" s="8"/>
      <c r="E102" s="8"/>
      <c r="F102" s="8"/>
      <c r="G102" s="8"/>
      <c r="H102" s="8"/>
      <c r="I102" s="8"/>
    </row>
    <row r="103" spans="1:9" x14ac:dyDescent="0.35">
      <c r="A103" s="10">
        <v>79</v>
      </c>
      <c r="B103" s="24">
        <v>9.875945041274468</v>
      </c>
      <c r="C103" s="24">
        <v>2.4688442278753442E-2</v>
      </c>
      <c r="D103" s="8"/>
      <c r="E103" s="8"/>
      <c r="F103" s="8"/>
      <c r="G103" s="8"/>
      <c r="H103" s="8"/>
      <c r="I103" s="8"/>
    </row>
    <row r="104" spans="1:9" x14ac:dyDescent="0.35">
      <c r="A104" s="10">
        <v>80</v>
      </c>
      <c r="B104" s="24">
        <v>9.8787040123096563</v>
      </c>
      <c r="C104" s="24">
        <v>-2.3881631754809618E-2</v>
      </c>
      <c r="D104" s="8"/>
      <c r="E104" s="8"/>
      <c r="F104" s="8"/>
      <c r="G104" s="8"/>
      <c r="H104" s="8"/>
      <c r="I104" s="8"/>
    </row>
    <row r="105" spans="1:9" x14ac:dyDescent="0.35">
      <c r="A105" s="10">
        <v>81</v>
      </c>
      <c r="B105" s="24">
        <v>9.8814629833448429</v>
      </c>
      <c r="C105" s="24">
        <v>6.961691514240087E-3</v>
      </c>
      <c r="D105" s="8"/>
      <c r="E105" s="8"/>
      <c r="F105" s="8"/>
      <c r="G105" s="8"/>
      <c r="H105" s="8"/>
      <c r="I105" s="8"/>
    </row>
    <row r="106" spans="1:9" x14ac:dyDescent="0.35">
      <c r="A106" s="10">
        <v>82</v>
      </c>
      <c r="B106" s="24">
        <v>9.8842219543800294</v>
      </c>
      <c r="C106" s="24">
        <v>-6.2703964711152693E-2</v>
      </c>
      <c r="D106" s="8"/>
      <c r="E106" s="8"/>
      <c r="F106" s="8"/>
      <c r="G106" s="8"/>
      <c r="H106" s="8"/>
      <c r="I106" s="8"/>
    </row>
    <row r="107" spans="1:9" x14ac:dyDescent="0.35">
      <c r="A107" s="10">
        <v>83</v>
      </c>
      <c r="B107" s="24">
        <v>9.8869809254152159</v>
      </c>
      <c r="C107" s="24">
        <v>-5.8270799836911635E-2</v>
      </c>
      <c r="D107" s="8"/>
      <c r="E107" s="8"/>
      <c r="F107" s="8"/>
      <c r="G107" s="8"/>
      <c r="H107" s="8"/>
      <c r="I107" s="8"/>
    </row>
    <row r="108" spans="1:9" x14ac:dyDescent="0.35">
      <c r="A108" s="10">
        <v>84</v>
      </c>
      <c r="B108" s="24">
        <v>9.8897398964504042</v>
      </c>
      <c r="C108" s="24">
        <v>-2.8742395535228837E-2</v>
      </c>
      <c r="D108" s="8"/>
      <c r="E108" s="8"/>
      <c r="F108" s="8"/>
      <c r="G108" s="8"/>
      <c r="H108" s="8"/>
      <c r="I108" s="8"/>
    </row>
    <row r="109" spans="1:9" x14ac:dyDescent="0.35">
      <c r="A109" s="10">
        <v>85</v>
      </c>
      <c r="B109" s="24">
        <v>9.8924988674855907</v>
      </c>
      <c r="C109" s="24">
        <v>-0.10290816162957483</v>
      </c>
      <c r="D109" s="8"/>
      <c r="E109" s="8"/>
      <c r="F109" s="8"/>
      <c r="G109" s="8"/>
      <c r="H109" s="8"/>
      <c r="I109" s="8"/>
    </row>
    <row r="110" spans="1:9" x14ac:dyDescent="0.35">
      <c r="A110" s="10">
        <v>86</v>
      </c>
      <c r="B110" s="24">
        <v>9.8952578385207772</v>
      </c>
      <c r="C110" s="24">
        <v>-1.8730467567431575E-2</v>
      </c>
      <c r="D110" s="8"/>
      <c r="E110" s="8"/>
      <c r="F110" s="8"/>
      <c r="G110" s="8"/>
      <c r="H110" s="8"/>
      <c r="I110" s="8"/>
    </row>
    <row r="111" spans="1:9" x14ac:dyDescent="0.35">
      <c r="A111" s="10">
        <v>87</v>
      </c>
      <c r="B111" s="24">
        <v>9.8980168095559655</v>
      </c>
      <c r="C111" s="24">
        <v>-6.1738006713287774E-2</v>
      </c>
      <c r="D111" s="8"/>
      <c r="E111" s="8"/>
      <c r="F111" s="8"/>
      <c r="G111" s="8"/>
      <c r="H111" s="8"/>
      <c r="I111" s="8"/>
    </row>
    <row r="112" spans="1:9" x14ac:dyDescent="0.35">
      <c r="A112" s="10">
        <v>88</v>
      </c>
      <c r="B112" s="24">
        <v>9.900775780591152</v>
      </c>
      <c r="C112" s="24">
        <v>3.3822766970029505E-2</v>
      </c>
      <c r="D112" s="8"/>
      <c r="E112" s="8"/>
      <c r="F112" s="8"/>
      <c r="G112" s="8"/>
      <c r="H112" s="8"/>
      <c r="I112" s="8"/>
    </row>
    <row r="113" spans="1:9" x14ac:dyDescent="0.35">
      <c r="A113" s="10">
        <v>89</v>
      </c>
      <c r="B113" s="24">
        <v>9.9035347516263386</v>
      </c>
      <c r="C113" s="24">
        <v>-8.7852650334951932E-3</v>
      </c>
      <c r="D113" s="8"/>
      <c r="E113" s="8"/>
      <c r="F113" s="8"/>
      <c r="G113" s="8"/>
      <c r="H113" s="8"/>
      <c r="I113" s="8"/>
    </row>
    <row r="114" spans="1:9" x14ac:dyDescent="0.35">
      <c r="A114" s="10">
        <v>90</v>
      </c>
      <c r="B114" s="24">
        <v>9.9062937226615251</v>
      </c>
      <c r="C114" s="24">
        <v>-9.5963668611647179E-2</v>
      </c>
      <c r="D114" s="8"/>
      <c r="E114" s="8"/>
      <c r="F114" s="8"/>
      <c r="G114" s="8"/>
      <c r="H114" s="8"/>
      <c r="I114" s="8"/>
    </row>
    <row r="115" spans="1:9" x14ac:dyDescent="0.35">
      <c r="A115" s="10">
        <v>91</v>
      </c>
      <c r="B115" s="24">
        <v>9.9090526936967134</v>
      </c>
      <c r="C115" s="24">
        <v>-2.4493151046105055E-2</v>
      </c>
      <c r="D115" s="8"/>
      <c r="E115" s="8"/>
      <c r="F115" s="8"/>
      <c r="G115" s="8"/>
      <c r="H115" s="8"/>
      <c r="I115" s="8"/>
    </row>
    <row r="116" spans="1:9" x14ac:dyDescent="0.35">
      <c r="A116" s="10">
        <v>92</v>
      </c>
      <c r="B116" s="24">
        <v>9.9118116647318999</v>
      </c>
      <c r="C116" s="24">
        <v>-5.0814163816724545E-2</v>
      </c>
      <c r="D116" s="8"/>
      <c r="E116" s="8"/>
      <c r="F116" s="8"/>
      <c r="G116" s="8"/>
      <c r="H116" s="8"/>
      <c r="I116" s="8"/>
    </row>
    <row r="117" spans="1:9" x14ac:dyDescent="0.35">
      <c r="A117" s="10">
        <v>93</v>
      </c>
      <c r="B117" s="24">
        <v>9.9145706357670864</v>
      </c>
      <c r="C117" s="24">
        <v>-2.0830434685837673E-2</v>
      </c>
      <c r="D117" s="8"/>
      <c r="E117" s="8"/>
      <c r="F117" s="8"/>
      <c r="G117" s="8"/>
      <c r="H117" s="8"/>
      <c r="I117" s="8"/>
    </row>
    <row r="118" spans="1:9" x14ac:dyDescent="0.35">
      <c r="A118" s="10">
        <v>94</v>
      </c>
      <c r="B118" s="24">
        <v>9.9173296068022729</v>
      </c>
      <c r="C118" s="24">
        <v>-8.9266276912985276E-2</v>
      </c>
      <c r="D118" s="8"/>
      <c r="E118" s="8"/>
      <c r="F118" s="8"/>
      <c r="G118" s="8"/>
      <c r="H118" s="8"/>
      <c r="I118" s="8"/>
    </row>
    <row r="119" spans="1:9" x14ac:dyDescent="0.35">
      <c r="A119" s="10">
        <v>95</v>
      </c>
      <c r="B119" s="24">
        <v>9.9200885778374612</v>
      </c>
      <c r="C119" s="24">
        <v>-4.3458479471215838E-2</v>
      </c>
      <c r="D119" s="8"/>
      <c r="E119" s="8"/>
      <c r="F119" s="8"/>
      <c r="G119" s="8"/>
      <c r="H119" s="8"/>
      <c r="I119" s="8"/>
    </row>
    <row r="120" spans="1:9" x14ac:dyDescent="0.35">
      <c r="A120" s="10">
        <v>96</v>
      </c>
      <c r="B120" s="24">
        <v>9.9228475488726477</v>
      </c>
      <c r="C120" s="24">
        <v>-4.1503361022209972E-2</v>
      </c>
      <c r="D120" s="8"/>
      <c r="E120" s="8"/>
      <c r="F120" s="8"/>
      <c r="G120" s="8"/>
      <c r="H120" s="8"/>
      <c r="I120" s="8"/>
    </row>
    <row r="121" spans="1:9" x14ac:dyDescent="0.35">
      <c r="A121" s="10">
        <v>97</v>
      </c>
      <c r="B121" s="24">
        <v>9.9256065199078343</v>
      </c>
      <c r="C121" s="24">
        <v>-6.2055936975406567E-2</v>
      </c>
      <c r="D121" s="8"/>
      <c r="E121" s="8"/>
      <c r="F121" s="8"/>
      <c r="G121" s="8"/>
      <c r="H121" s="8"/>
      <c r="I121" s="8"/>
    </row>
    <row r="122" spans="1:9" x14ac:dyDescent="0.35">
      <c r="A122" s="10">
        <v>98</v>
      </c>
      <c r="B122" s="24">
        <v>9.9283654909430208</v>
      </c>
      <c r="C122" s="24">
        <v>-1.2590728082582103E-3</v>
      </c>
      <c r="D122" s="8"/>
      <c r="E122" s="8"/>
      <c r="F122" s="8"/>
      <c r="G122" s="8"/>
      <c r="H122" s="8"/>
      <c r="I122" s="8"/>
    </row>
    <row r="123" spans="1:9" x14ac:dyDescent="0.35">
      <c r="A123" s="10">
        <v>99</v>
      </c>
      <c r="B123" s="24">
        <v>9.9311244619782091</v>
      </c>
      <c r="C123" s="24">
        <v>-5.0189313912593292E-2</v>
      </c>
      <c r="D123" s="8"/>
      <c r="E123" s="8"/>
      <c r="F123" s="8"/>
      <c r="G123" s="8"/>
      <c r="H123" s="8"/>
      <c r="I123" s="8"/>
    </row>
    <row r="124" spans="1:9" x14ac:dyDescent="0.35">
      <c r="A124" s="10">
        <v>100</v>
      </c>
      <c r="B124" s="24">
        <v>9.9338834330133956</v>
      </c>
      <c r="C124" s="24">
        <v>6.827229131943291E-2</v>
      </c>
      <c r="D124" s="8"/>
      <c r="E124" s="8"/>
      <c r="F124" s="8"/>
      <c r="G124" s="8"/>
      <c r="H124" s="8"/>
      <c r="I124" s="8"/>
    </row>
    <row r="125" spans="1:9" x14ac:dyDescent="0.35">
      <c r="A125" s="10">
        <v>101</v>
      </c>
      <c r="B125" s="24">
        <v>9.9366424040485821</v>
      </c>
      <c r="C125" s="24">
        <v>-1.9469243882603848E-3</v>
      </c>
      <c r="D125" s="8"/>
      <c r="E125" s="8"/>
      <c r="F125" s="8"/>
      <c r="G125" s="8"/>
      <c r="H125" s="8"/>
      <c r="I125" s="8"/>
    </row>
    <row r="126" spans="1:9" x14ac:dyDescent="0.35">
      <c r="A126" s="10">
        <v>102</v>
      </c>
      <c r="B126" s="24">
        <v>9.9394013750837686</v>
      </c>
      <c r="C126" s="24">
        <v>-7.9865710076823859E-2</v>
      </c>
      <c r="D126" s="8"/>
      <c r="E126" s="8"/>
      <c r="F126" s="8"/>
      <c r="G126" s="8"/>
      <c r="H126" s="8"/>
      <c r="I126" s="8"/>
    </row>
    <row r="127" spans="1:9" x14ac:dyDescent="0.35">
      <c r="A127" s="10">
        <v>103</v>
      </c>
      <c r="B127" s="24">
        <v>9.9421603461189569</v>
      </c>
      <c r="C127" s="24">
        <v>-1.4565718239595071E-2</v>
      </c>
      <c r="D127" s="8"/>
      <c r="E127" s="8"/>
      <c r="F127" s="8"/>
      <c r="G127" s="8"/>
      <c r="H127" s="8"/>
      <c r="I127" s="8"/>
    </row>
    <row r="128" spans="1:9" x14ac:dyDescent="0.35">
      <c r="A128" s="10">
        <v>104</v>
      </c>
      <c r="B128" s="24">
        <v>9.9449193171541435</v>
      </c>
      <c r="C128" s="24">
        <v>-1.0854064153877019E-2</v>
      </c>
      <c r="D128" s="8"/>
      <c r="E128" s="8"/>
      <c r="F128" s="8"/>
      <c r="G128" s="8"/>
      <c r="H128" s="8"/>
      <c r="I128" s="8"/>
    </row>
    <row r="129" spans="1:9" x14ac:dyDescent="0.35">
      <c r="A129" s="10">
        <v>105</v>
      </c>
      <c r="B129" s="24">
        <v>9.94767828818933</v>
      </c>
      <c r="C129" s="24">
        <v>7.8797566378003836E-3</v>
      </c>
      <c r="D129" s="8"/>
      <c r="E129" s="8"/>
      <c r="F129" s="8"/>
      <c r="G129" s="8"/>
      <c r="H129" s="8"/>
      <c r="I129" s="8"/>
    </row>
    <row r="130" spans="1:9" x14ac:dyDescent="0.35">
      <c r="A130" s="10">
        <v>106</v>
      </c>
      <c r="B130" s="24">
        <v>9.9504372592245165</v>
      </c>
      <c r="C130" s="24">
        <v>-2.6118197108456087E-2</v>
      </c>
      <c r="D130" s="8"/>
      <c r="E130" s="8"/>
      <c r="F130" s="8"/>
      <c r="G130" s="8"/>
      <c r="H130" s="8"/>
      <c r="I130" s="8"/>
    </row>
    <row r="131" spans="1:9" x14ac:dyDescent="0.35">
      <c r="A131" s="10">
        <v>107</v>
      </c>
      <c r="B131" s="24">
        <v>9.9531962302597048</v>
      </c>
      <c r="C131" s="24">
        <v>-5.2134378370247703E-3</v>
      </c>
      <c r="D131" s="8"/>
      <c r="E131" s="8"/>
      <c r="F131" s="8"/>
      <c r="G131" s="8"/>
      <c r="H131" s="8"/>
      <c r="I131" s="8"/>
    </row>
    <row r="132" spans="1:9" x14ac:dyDescent="0.35">
      <c r="A132" s="10">
        <v>108</v>
      </c>
      <c r="B132" s="24">
        <v>9.9559552012948913</v>
      </c>
      <c r="C132" s="24">
        <v>-2.1405123306944773E-2</v>
      </c>
      <c r="D132" s="8"/>
      <c r="E132" s="8"/>
      <c r="F132" s="8"/>
      <c r="G132" s="8"/>
      <c r="H132" s="8"/>
      <c r="I132" s="8"/>
    </row>
    <row r="133" spans="1:9" x14ac:dyDescent="0.35">
      <c r="A133" s="10">
        <v>109</v>
      </c>
      <c r="B133" s="24">
        <v>9.9587141723300778</v>
      </c>
      <c r="C133" s="24">
        <v>-2.0873503422286888E-2</v>
      </c>
      <c r="D133" s="8"/>
      <c r="E133" s="8"/>
      <c r="F133" s="8"/>
      <c r="G133" s="8"/>
      <c r="H133" s="8"/>
      <c r="I133" s="8"/>
    </row>
    <row r="134" spans="1:9" x14ac:dyDescent="0.35">
      <c r="A134" s="10">
        <v>110</v>
      </c>
      <c r="B134" s="24">
        <v>9.9614731433652643</v>
      </c>
      <c r="C134" s="24">
        <v>2.2487793320740579E-2</v>
      </c>
      <c r="D134" s="8"/>
      <c r="E134" s="8"/>
      <c r="F134" s="8"/>
      <c r="G134" s="8"/>
      <c r="H134" s="8"/>
      <c r="I134" s="8"/>
    </row>
    <row r="135" spans="1:9" x14ac:dyDescent="0.35">
      <c r="A135" s="10">
        <v>111</v>
      </c>
      <c r="B135" s="24">
        <v>9.9642321144004526</v>
      </c>
      <c r="C135" s="24">
        <v>-5.0249824771682938E-2</v>
      </c>
      <c r="D135" s="8"/>
      <c r="E135" s="8"/>
      <c r="F135" s="8"/>
      <c r="G135" s="8"/>
      <c r="H135" s="8"/>
      <c r="I135" s="8"/>
    </row>
    <row r="136" spans="1:9" x14ac:dyDescent="0.35">
      <c r="A136" s="10">
        <v>112</v>
      </c>
      <c r="B136" s="24">
        <v>9.9669910854356392</v>
      </c>
      <c r="C136" s="24">
        <v>0.12073285609921491</v>
      </c>
      <c r="D136" s="8"/>
      <c r="E136" s="8"/>
      <c r="F136" s="8"/>
      <c r="G136" s="8"/>
      <c r="H136" s="8"/>
      <c r="I136" s="8"/>
    </row>
    <row r="137" spans="1:9" x14ac:dyDescent="0.35">
      <c r="A137" s="10">
        <v>113</v>
      </c>
      <c r="B137" s="24">
        <v>9.9697500564708257</v>
      </c>
      <c r="C137" s="24">
        <v>1.5916382022945541E-2</v>
      </c>
      <c r="D137" s="8"/>
      <c r="E137" s="8"/>
      <c r="F137" s="8"/>
      <c r="G137" s="8"/>
      <c r="H137" s="8"/>
      <c r="I137" s="8"/>
    </row>
    <row r="138" spans="1:9" x14ac:dyDescent="0.35">
      <c r="A138" s="10">
        <v>114</v>
      </c>
      <c r="B138" s="24">
        <v>9.9725090275060122</v>
      </c>
      <c r="C138" s="24">
        <v>-6.478048071262954E-2</v>
      </c>
      <c r="D138" s="8"/>
      <c r="E138" s="8"/>
      <c r="F138" s="8"/>
      <c r="G138" s="8"/>
      <c r="H138" s="8"/>
      <c r="I138" s="8"/>
    </row>
    <row r="139" spans="1:9" x14ac:dyDescent="0.35">
      <c r="A139" s="10">
        <v>115</v>
      </c>
      <c r="B139" s="24">
        <v>9.9752679985412005</v>
      </c>
      <c r="C139" s="24">
        <v>4.0029229046933068E-2</v>
      </c>
      <c r="D139" s="8"/>
      <c r="E139" s="8"/>
      <c r="F139" s="8"/>
      <c r="G139" s="8"/>
      <c r="H139" s="8"/>
      <c r="I139" s="8"/>
    </row>
    <row r="140" spans="1:9" x14ac:dyDescent="0.35">
      <c r="A140" s="10">
        <v>116</v>
      </c>
      <c r="B140" s="24">
        <v>9.978026969576387</v>
      </c>
      <c r="C140" s="24">
        <v>1.5052859118469541E-4</v>
      </c>
      <c r="D140" s="8"/>
      <c r="E140" s="8"/>
      <c r="F140" s="8"/>
      <c r="G140" s="8"/>
      <c r="H140" s="8"/>
      <c r="I140" s="8"/>
    </row>
    <row r="141" spans="1:9" x14ac:dyDescent="0.35">
      <c r="A141" s="10">
        <v>117</v>
      </c>
      <c r="B141" s="24">
        <v>9.9807859406115735</v>
      </c>
      <c r="C141" s="24">
        <v>-6.7933271900919578E-3</v>
      </c>
      <c r="D141" s="8"/>
      <c r="E141" s="8"/>
      <c r="F141" s="8"/>
      <c r="G141" s="8"/>
      <c r="H141" s="8"/>
      <c r="I141" s="8"/>
    </row>
    <row r="142" spans="1:9" x14ac:dyDescent="0.35">
      <c r="A142" s="10">
        <v>118</v>
      </c>
      <c r="B142" s="24">
        <v>9.9835449116467601</v>
      </c>
      <c r="C142" s="24">
        <v>-8.2484563641997966E-3</v>
      </c>
      <c r="D142" s="8"/>
      <c r="E142" s="8"/>
      <c r="F142" s="8"/>
      <c r="G142" s="8"/>
      <c r="H142" s="8"/>
      <c r="I142" s="8"/>
    </row>
    <row r="143" spans="1:9" x14ac:dyDescent="0.35">
      <c r="A143" s="10">
        <v>119</v>
      </c>
      <c r="B143" s="24">
        <v>9.9863038826819484</v>
      </c>
      <c r="C143" s="24">
        <v>2.1679937591763121E-3</v>
      </c>
      <c r="D143" s="8"/>
      <c r="E143" s="8"/>
      <c r="F143" s="8"/>
      <c r="G143" s="8"/>
      <c r="H143" s="8"/>
      <c r="I143" s="8"/>
    </row>
    <row r="144" spans="1:9" x14ac:dyDescent="0.35">
      <c r="A144" s="10">
        <v>120</v>
      </c>
      <c r="B144" s="24">
        <v>9.9890628537171349</v>
      </c>
      <c r="C144" s="24">
        <v>-1.1720932610526091E-2</v>
      </c>
      <c r="D144" s="8"/>
      <c r="E144" s="8"/>
      <c r="F144" s="8"/>
      <c r="G144" s="8"/>
      <c r="H144" s="8"/>
      <c r="I144" s="8"/>
    </row>
    <row r="145" spans="1:9" x14ac:dyDescent="0.35">
      <c r="A145" s="10">
        <v>121</v>
      </c>
      <c r="B145" s="24">
        <v>9.9918218247523214</v>
      </c>
      <c r="C145" s="24">
        <v>7.7937548780262489E-3</v>
      </c>
      <c r="D145" s="8"/>
      <c r="E145" s="8"/>
      <c r="F145" s="8"/>
      <c r="G145" s="8"/>
      <c r="H145" s="8"/>
      <c r="I145" s="8"/>
    </row>
    <row r="146" spans="1:9" x14ac:dyDescent="0.35">
      <c r="A146" s="10">
        <v>122</v>
      </c>
      <c r="B146" s="24">
        <v>9.9945807957875097</v>
      </c>
      <c r="C146" s="24">
        <v>3.2229972780617899E-2</v>
      </c>
      <c r="D146" s="8"/>
      <c r="E146" s="8"/>
      <c r="F146" s="8"/>
      <c r="G146" s="8"/>
      <c r="H146" s="8"/>
      <c r="I146" s="8"/>
    </row>
    <row r="147" spans="1:9" x14ac:dyDescent="0.35">
      <c r="A147" s="10">
        <v>123</v>
      </c>
      <c r="B147" s="24">
        <v>9.9973397668226962</v>
      </c>
      <c r="C147" s="24">
        <v>-1.4948616691102146E-2</v>
      </c>
      <c r="D147" s="8"/>
      <c r="E147" s="8"/>
      <c r="F147" s="8"/>
      <c r="G147" s="8"/>
      <c r="H147" s="8"/>
      <c r="I147" s="8"/>
    </row>
    <row r="148" spans="1:9" x14ac:dyDescent="0.35">
      <c r="A148" s="10">
        <v>124</v>
      </c>
      <c r="B148" s="24">
        <v>10.000098737857883</v>
      </c>
      <c r="C148" s="24">
        <v>0.13497661277511774</v>
      </c>
      <c r="D148" s="8"/>
      <c r="E148" s="8"/>
      <c r="F148" s="8"/>
      <c r="G148" s="8"/>
      <c r="H148" s="8"/>
      <c r="I148" s="8"/>
    </row>
    <row r="149" spans="1:9" x14ac:dyDescent="0.35">
      <c r="A149" s="10">
        <v>125</v>
      </c>
      <c r="B149" s="24">
        <v>10.002857708893069</v>
      </c>
      <c r="C149" s="24">
        <v>3.0510437422073267E-3</v>
      </c>
      <c r="D149" s="8"/>
      <c r="E149" s="8"/>
      <c r="F149" s="8"/>
      <c r="G149" s="8"/>
      <c r="H149" s="8"/>
      <c r="I149" s="8"/>
    </row>
    <row r="150" spans="1:9" x14ac:dyDescent="0.35">
      <c r="A150" s="10">
        <v>126</v>
      </c>
      <c r="B150" s="24">
        <v>10.005616679928258</v>
      </c>
      <c r="C150" s="24">
        <v>1.0753029664542169E-2</v>
      </c>
      <c r="D150" s="8"/>
      <c r="E150" s="8"/>
      <c r="F150" s="8"/>
      <c r="G150" s="8"/>
      <c r="H150" s="8"/>
      <c r="I150" s="8"/>
    </row>
    <row r="151" spans="1:9" x14ac:dyDescent="0.35">
      <c r="A151" s="10">
        <v>127</v>
      </c>
      <c r="B151" s="24">
        <v>10.008375650963444</v>
      </c>
      <c r="C151" s="24">
        <v>5.850544848111916E-2</v>
      </c>
      <c r="D151" s="8"/>
      <c r="E151" s="8"/>
      <c r="F151" s="8"/>
      <c r="G151" s="8"/>
      <c r="H151" s="8"/>
      <c r="I151" s="8"/>
    </row>
    <row r="152" spans="1:9" x14ac:dyDescent="0.35">
      <c r="A152" s="10">
        <v>128</v>
      </c>
      <c r="B152" s="24">
        <v>10.011134621998631</v>
      </c>
      <c r="C152" s="24">
        <v>1.6780508912550118E-2</v>
      </c>
      <c r="D152" s="8"/>
      <c r="E152" s="8"/>
      <c r="F152" s="8"/>
      <c r="G152" s="8"/>
      <c r="H152" s="8"/>
      <c r="I152" s="8"/>
    </row>
    <row r="153" spans="1:9" x14ac:dyDescent="0.35">
      <c r="A153" s="10">
        <v>129</v>
      </c>
      <c r="B153" s="24">
        <v>10.013893593033817</v>
      </c>
      <c r="C153" s="24">
        <v>3.3304617168610662E-2</v>
      </c>
      <c r="D153" s="8"/>
      <c r="E153" s="8"/>
      <c r="F153" s="8"/>
      <c r="G153" s="8"/>
      <c r="H153" s="8"/>
      <c r="I153" s="8"/>
    </row>
    <row r="154" spans="1:9" x14ac:dyDescent="0.35">
      <c r="A154" s="10">
        <v>130</v>
      </c>
      <c r="B154" s="24">
        <v>10.016652564069005</v>
      </c>
      <c r="C154" s="24">
        <v>1.3291412419681237E-2</v>
      </c>
      <c r="D154" s="8"/>
      <c r="E154" s="8"/>
      <c r="F154" s="8"/>
      <c r="G154" s="8"/>
      <c r="H154" s="8"/>
      <c r="I154" s="8"/>
    </row>
    <row r="155" spans="1:9" x14ac:dyDescent="0.35">
      <c r="A155" s="10">
        <v>131</v>
      </c>
      <c r="B155" s="24">
        <v>10.019411535104192</v>
      </c>
      <c r="C155" s="24">
        <v>-1.3502782468915342E-2</v>
      </c>
      <c r="D155" s="8"/>
      <c r="E155" s="8"/>
      <c r="F155" s="8"/>
      <c r="G155" s="8"/>
      <c r="H155" s="8"/>
      <c r="I155" s="8"/>
    </row>
    <row r="156" spans="1:9" x14ac:dyDescent="0.35">
      <c r="A156" s="10">
        <v>132</v>
      </c>
      <c r="B156" s="24">
        <v>10.022170506139378</v>
      </c>
      <c r="C156" s="24">
        <v>2.0600613499135889E-2</v>
      </c>
      <c r="D156" s="8"/>
      <c r="E156" s="8"/>
      <c r="F156" s="8"/>
      <c r="G156" s="8"/>
      <c r="H156" s="8"/>
      <c r="I156" s="8"/>
    </row>
    <row r="157" spans="1:9" x14ac:dyDescent="0.35">
      <c r="A157" s="10">
        <v>133</v>
      </c>
      <c r="B157" s="24">
        <v>10.024929477174565</v>
      </c>
      <c r="C157" s="24">
        <v>-1.6586536536056684E-2</v>
      </c>
      <c r="D157" s="8"/>
      <c r="E157" s="8"/>
      <c r="F157" s="8"/>
      <c r="G157" s="8"/>
      <c r="H157" s="8"/>
      <c r="I157" s="8"/>
    </row>
    <row r="158" spans="1:9" x14ac:dyDescent="0.35">
      <c r="A158" s="10">
        <v>134</v>
      </c>
      <c r="B158" s="24">
        <v>10.027688448209753</v>
      </c>
      <c r="C158" s="24">
        <v>-2.4536572560679204E-2</v>
      </c>
      <c r="D158" s="8"/>
      <c r="E158" s="8"/>
      <c r="F158" s="8"/>
      <c r="G158" s="8"/>
      <c r="H158" s="8"/>
      <c r="I158" s="8"/>
    </row>
    <row r="159" spans="1:9" x14ac:dyDescent="0.35">
      <c r="A159" s="10">
        <v>135</v>
      </c>
      <c r="B159" s="24">
        <v>10.03044741924494</v>
      </c>
      <c r="C159" s="24">
        <v>-3.8308169114248614E-2</v>
      </c>
      <c r="D159" s="8"/>
      <c r="E159" s="8"/>
      <c r="F159" s="8"/>
      <c r="G159" s="8"/>
      <c r="H159" s="8"/>
      <c r="I159" s="8"/>
    </row>
    <row r="160" spans="1:9" x14ac:dyDescent="0.35">
      <c r="A160" s="10">
        <v>136</v>
      </c>
      <c r="B160" s="24">
        <v>10.033206390280126</v>
      </c>
      <c r="C160" s="24">
        <v>7.2772925839339919E-2</v>
      </c>
      <c r="D160" s="8"/>
      <c r="E160" s="8"/>
      <c r="F160" s="8"/>
      <c r="G160" s="8"/>
      <c r="H160" s="8"/>
      <c r="I160" s="8"/>
    </row>
    <row r="161" spans="1:9" x14ac:dyDescent="0.35">
      <c r="A161" s="10">
        <v>137</v>
      </c>
      <c r="B161" s="24">
        <v>10.035965361315313</v>
      </c>
      <c r="C161" s="24">
        <v>-2.0087063200158184E-2</v>
      </c>
      <c r="D161" s="8"/>
      <c r="E161" s="8"/>
      <c r="F161" s="8"/>
      <c r="G161" s="8"/>
      <c r="H161" s="8"/>
      <c r="I161" s="8"/>
    </row>
    <row r="162" spans="1:9" x14ac:dyDescent="0.35">
      <c r="A162" s="10">
        <v>138</v>
      </c>
      <c r="B162" s="24">
        <v>10.038724332350501</v>
      </c>
      <c r="C162" s="24">
        <v>-7.5365382776983125E-2</v>
      </c>
      <c r="D162" s="8"/>
      <c r="E162" s="8"/>
      <c r="F162" s="8"/>
      <c r="G162" s="8"/>
      <c r="H162" s="8"/>
      <c r="I162" s="8"/>
    </row>
    <row r="163" spans="1:9" x14ac:dyDescent="0.35">
      <c r="A163" s="10">
        <v>139</v>
      </c>
      <c r="B163" s="24">
        <v>10.041483303385688</v>
      </c>
      <c r="C163" s="24">
        <v>1.6783302937994904E-2</v>
      </c>
      <c r="D163" s="8"/>
      <c r="E163" s="8"/>
      <c r="F163" s="8"/>
      <c r="G163" s="8"/>
      <c r="H163" s="8"/>
      <c r="I163" s="8"/>
    </row>
    <row r="164" spans="1:9" x14ac:dyDescent="0.35">
      <c r="A164" s="10">
        <v>140</v>
      </c>
      <c r="B164" s="24">
        <v>10.044242274420874</v>
      </c>
      <c r="C164" s="24">
        <v>-3.2169411471304699E-2</v>
      </c>
      <c r="D164" s="8"/>
      <c r="E164" s="8"/>
      <c r="F164" s="8"/>
      <c r="G164" s="8"/>
      <c r="H164" s="8"/>
      <c r="I164" s="8"/>
    </row>
    <row r="165" spans="1:9" x14ac:dyDescent="0.35">
      <c r="A165" s="10">
        <v>141</v>
      </c>
      <c r="B165" s="24">
        <v>10.047001245456061</v>
      </c>
      <c r="C165" s="24">
        <v>2.7789045724890826E-2</v>
      </c>
      <c r="D165" s="8"/>
      <c r="E165" s="8"/>
      <c r="F165" s="8"/>
      <c r="G165" s="8"/>
      <c r="H165" s="8"/>
      <c r="I165" s="8"/>
    </row>
    <row r="166" spans="1:9" x14ac:dyDescent="0.35">
      <c r="A166" s="10">
        <v>142</v>
      </c>
      <c r="B166" s="24">
        <v>10.049760216491249</v>
      </c>
      <c r="C166" s="24">
        <v>-4.1222718504432265E-3</v>
      </c>
      <c r="D166" s="8"/>
      <c r="E166" s="8"/>
      <c r="F166" s="8"/>
      <c r="G166" s="8"/>
      <c r="H166" s="8"/>
      <c r="I166" s="8"/>
    </row>
    <row r="167" spans="1:9" x14ac:dyDescent="0.35">
      <c r="A167" s="10">
        <v>143</v>
      </c>
      <c r="B167" s="24">
        <v>10.052519187526435</v>
      </c>
      <c r="C167" s="24">
        <v>-4.0401470464859202E-2</v>
      </c>
      <c r="D167" s="8"/>
      <c r="E167" s="8"/>
      <c r="F167" s="8"/>
      <c r="G167" s="8"/>
      <c r="H167" s="8"/>
      <c r="I167" s="8"/>
    </row>
    <row r="168" spans="1:9" x14ac:dyDescent="0.35">
      <c r="A168" s="10">
        <v>144</v>
      </c>
      <c r="B168" s="24">
        <v>10.055278158561622</v>
      </c>
      <c r="C168" s="24">
        <v>1.1178222252645753E-2</v>
      </c>
      <c r="D168" s="8"/>
      <c r="E168" s="8"/>
      <c r="F168" s="8"/>
      <c r="G168" s="8"/>
      <c r="H168" s="8"/>
      <c r="I168" s="8"/>
    </row>
    <row r="169" spans="1:9" x14ac:dyDescent="0.35">
      <c r="A169" s="10">
        <v>145</v>
      </c>
      <c r="B169" s="24">
        <v>10.058037129596809</v>
      </c>
      <c r="C169" s="24">
        <v>-3.1093773133761715E-2</v>
      </c>
      <c r="D169" s="8"/>
      <c r="E169" s="8"/>
      <c r="F169" s="8"/>
      <c r="G169" s="8"/>
      <c r="H169" s="8"/>
      <c r="I169" s="8"/>
    </row>
    <row r="170" spans="1:9" x14ac:dyDescent="0.35">
      <c r="A170" s="10">
        <v>146</v>
      </c>
      <c r="B170" s="24">
        <v>10.060796100631997</v>
      </c>
      <c r="C170" s="24">
        <v>2.9378466207726106E-2</v>
      </c>
      <c r="D170" s="8"/>
      <c r="E170" s="8"/>
      <c r="F170" s="8"/>
      <c r="G170" s="8"/>
      <c r="H170" s="8"/>
      <c r="I170" s="8"/>
    </row>
    <row r="171" spans="1:9" x14ac:dyDescent="0.35">
      <c r="A171" s="10">
        <v>147</v>
      </c>
      <c r="B171" s="24">
        <v>10.063555071667183</v>
      </c>
      <c r="C171" s="24">
        <v>-4.8174438604959846E-3</v>
      </c>
      <c r="D171" s="8"/>
      <c r="E171" s="8"/>
      <c r="F171" s="8"/>
      <c r="G171" s="8"/>
      <c r="H171" s="8"/>
      <c r="I171" s="8"/>
    </row>
    <row r="172" spans="1:9" x14ac:dyDescent="0.35">
      <c r="A172" s="10">
        <v>148</v>
      </c>
      <c r="B172" s="24">
        <v>10.06631404270237</v>
      </c>
      <c r="C172" s="24">
        <v>7.7056177152243777E-2</v>
      </c>
      <c r="D172" s="8"/>
      <c r="E172" s="8"/>
      <c r="F172" s="8"/>
      <c r="G172" s="8"/>
      <c r="H172" s="8"/>
      <c r="I172" s="8"/>
    </row>
    <row r="173" spans="1:9" x14ac:dyDescent="0.35">
      <c r="A173" s="10">
        <v>149</v>
      </c>
      <c r="B173" s="24">
        <v>10.069073013737558</v>
      </c>
      <c r="C173" s="24">
        <v>2.8335231435876906E-2</v>
      </c>
      <c r="D173" s="8"/>
      <c r="E173" s="8"/>
      <c r="F173" s="8"/>
      <c r="G173" s="8"/>
      <c r="H173" s="8"/>
      <c r="I173" s="8"/>
    </row>
    <row r="174" spans="1:9" x14ac:dyDescent="0.35">
      <c r="A174" s="10">
        <v>150</v>
      </c>
      <c r="B174" s="24">
        <v>10.071831984772745</v>
      </c>
      <c r="C174" s="24">
        <v>-7.2716121223209029E-2</v>
      </c>
      <c r="D174" s="8"/>
      <c r="E174" s="8"/>
      <c r="F174" s="8"/>
      <c r="G174" s="8"/>
      <c r="H174" s="8"/>
      <c r="I174" s="8"/>
    </row>
    <row r="175" spans="1:9" x14ac:dyDescent="0.35">
      <c r="A175" s="10">
        <v>151</v>
      </c>
      <c r="B175" s="24">
        <v>10.074590955807931</v>
      </c>
      <c r="C175" s="24">
        <v>1.4338280858394725E-2</v>
      </c>
      <c r="D175" s="8"/>
      <c r="E175" s="8"/>
      <c r="F175" s="8"/>
      <c r="G175" s="8"/>
      <c r="H175" s="8"/>
      <c r="I175" s="8"/>
    </row>
    <row r="176" spans="1:9" x14ac:dyDescent="0.35">
      <c r="A176" s="10">
        <v>152</v>
      </c>
      <c r="B176" s="24">
        <v>10.077349926843118</v>
      </c>
      <c r="C176" s="24">
        <v>-2.3633661060298294E-2</v>
      </c>
      <c r="D176" s="8"/>
      <c r="E176" s="8"/>
      <c r="F176" s="8"/>
      <c r="G176" s="8"/>
      <c r="H176" s="8"/>
      <c r="I176" s="8"/>
    </row>
    <row r="177" spans="1:9" x14ac:dyDescent="0.35">
      <c r="A177" s="10">
        <v>153</v>
      </c>
      <c r="B177" s="24">
        <v>10.080108897878306</v>
      </c>
      <c r="C177" s="24">
        <v>4.0423647510161587E-2</v>
      </c>
      <c r="D177" s="8"/>
      <c r="E177" s="8"/>
      <c r="F177" s="8"/>
      <c r="G177" s="8"/>
      <c r="H177" s="8"/>
      <c r="I177" s="8"/>
    </row>
    <row r="178" spans="1:9" x14ac:dyDescent="0.35">
      <c r="A178" s="10">
        <v>154</v>
      </c>
      <c r="B178" s="24">
        <v>10.082867868913493</v>
      </c>
      <c r="C178" s="24">
        <v>-2.5415368082853718E-2</v>
      </c>
      <c r="D178" s="8"/>
      <c r="E178" s="8"/>
      <c r="F178" s="8"/>
      <c r="G178" s="8"/>
      <c r="H178" s="8"/>
      <c r="I178" s="8"/>
    </row>
    <row r="179" spans="1:9" x14ac:dyDescent="0.35">
      <c r="A179" s="10">
        <v>155</v>
      </c>
      <c r="B179" s="24">
        <v>10.085626839948679</v>
      </c>
      <c r="C179" s="24">
        <v>-1.743025793551034E-2</v>
      </c>
      <c r="D179" s="8"/>
      <c r="E179" s="8"/>
      <c r="F179" s="8"/>
      <c r="G179" s="8"/>
      <c r="H179" s="8"/>
      <c r="I179" s="8"/>
    </row>
    <row r="180" spans="1:9" x14ac:dyDescent="0.35">
      <c r="A180" s="10">
        <v>156</v>
      </c>
      <c r="B180" s="24">
        <v>10.088385810983866</v>
      </c>
      <c r="C180" s="24">
        <v>2.8679687996771008E-2</v>
      </c>
      <c r="D180" s="8"/>
      <c r="E180" s="8"/>
      <c r="F180" s="8"/>
      <c r="G180" s="8"/>
      <c r="H180" s="8"/>
      <c r="I180" s="8"/>
    </row>
    <row r="181" spans="1:9" x14ac:dyDescent="0.35">
      <c r="A181" s="10">
        <v>157</v>
      </c>
      <c r="B181" s="24">
        <v>10.091144782019054</v>
      </c>
      <c r="C181" s="24">
        <v>-5.0943406167103689E-2</v>
      </c>
      <c r="D181" s="8"/>
      <c r="E181" s="8"/>
      <c r="F181" s="8"/>
      <c r="G181" s="8"/>
      <c r="H181" s="8"/>
      <c r="I181" s="8"/>
    </row>
    <row r="182" spans="1:9" x14ac:dyDescent="0.35">
      <c r="A182" s="10">
        <v>158</v>
      </c>
      <c r="B182" s="24">
        <v>10.09390375305424</v>
      </c>
      <c r="C182" s="24">
        <v>5.6756328595458427E-2</v>
      </c>
      <c r="D182" s="8"/>
      <c r="E182" s="8"/>
      <c r="F182" s="8"/>
      <c r="G182" s="8"/>
      <c r="H182" s="8"/>
      <c r="I182" s="8"/>
    </row>
    <row r="183" spans="1:9" x14ac:dyDescent="0.35">
      <c r="A183" s="10">
        <v>159</v>
      </c>
      <c r="B183" s="24">
        <v>10.096662724089427</v>
      </c>
      <c r="C183" s="24">
        <v>1.1926601260146441E-2</v>
      </c>
      <c r="D183" s="8"/>
      <c r="E183" s="8"/>
      <c r="F183" s="8"/>
      <c r="G183" s="8"/>
      <c r="H183" s="8"/>
      <c r="I183" s="8"/>
    </row>
    <row r="184" spans="1:9" x14ac:dyDescent="0.35">
      <c r="A184" s="10">
        <v>160</v>
      </c>
      <c r="B184" s="24">
        <v>10.099421695124613</v>
      </c>
      <c r="C184" s="24">
        <v>5.2136140249583462E-2</v>
      </c>
      <c r="D184" s="8"/>
      <c r="E184" s="8"/>
      <c r="F184" s="8"/>
      <c r="G184" s="8"/>
      <c r="H184" s="8"/>
      <c r="I184" s="8"/>
    </row>
    <row r="185" spans="1:9" x14ac:dyDescent="0.35">
      <c r="A185" s="10">
        <v>161</v>
      </c>
      <c r="B185" s="24">
        <v>10.102180666159802</v>
      </c>
      <c r="C185" s="24">
        <v>2.5929343569934815E-2</v>
      </c>
      <c r="D185" s="8"/>
      <c r="E185" s="8"/>
      <c r="F185" s="8"/>
      <c r="G185" s="8"/>
      <c r="H185" s="8"/>
      <c r="I185" s="8"/>
    </row>
    <row r="186" spans="1:9" x14ac:dyDescent="0.35">
      <c r="A186" s="10">
        <v>162</v>
      </c>
      <c r="B186" s="24">
        <v>10.104939637194988</v>
      </c>
      <c r="C186" s="24">
        <v>-5.1309426229140698E-2</v>
      </c>
      <c r="D186" s="8"/>
      <c r="E186" s="8"/>
      <c r="F186" s="8"/>
      <c r="G186" s="8"/>
      <c r="H186" s="8"/>
      <c r="I186" s="8"/>
    </row>
    <row r="187" spans="1:9" x14ac:dyDescent="0.35">
      <c r="A187" s="10">
        <v>163</v>
      </c>
      <c r="B187" s="24">
        <v>10.107698608230175</v>
      </c>
      <c r="C187" s="24">
        <v>1.8677169935710225E-3</v>
      </c>
      <c r="D187" s="8"/>
      <c r="E187" s="8"/>
      <c r="F187" s="8"/>
      <c r="G187" s="8"/>
      <c r="H187" s="8"/>
      <c r="I187" s="8"/>
    </row>
    <row r="188" spans="1:9" x14ac:dyDescent="0.35">
      <c r="A188" s="10">
        <v>164</v>
      </c>
      <c r="B188" s="24">
        <v>10.110457579265361</v>
      </c>
      <c r="C188" s="24">
        <v>8.3832591099142206E-3</v>
      </c>
      <c r="D188" s="8"/>
      <c r="E188" s="8"/>
      <c r="F188" s="8"/>
      <c r="G188" s="8"/>
      <c r="H188" s="8"/>
      <c r="I188" s="8"/>
    </row>
    <row r="189" spans="1:9" x14ac:dyDescent="0.35">
      <c r="A189" s="10">
        <v>165</v>
      </c>
      <c r="B189" s="24">
        <v>10.11321655030055</v>
      </c>
      <c r="C189" s="24">
        <v>4.1690980501444486E-2</v>
      </c>
      <c r="D189" s="8"/>
      <c r="E189" s="8"/>
      <c r="F189" s="8"/>
      <c r="G189" s="8"/>
      <c r="H189" s="8"/>
      <c r="I189" s="8"/>
    </row>
    <row r="190" spans="1:9" x14ac:dyDescent="0.35">
      <c r="A190" s="10">
        <v>166</v>
      </c>
      <c r="B190" s="24">
        <v>10.115975521335736</v>
      </c>
      <c r="C190" s="24">
        <v>-4.0848260352513321E-2</v>
      </c>
      <c r="D190" s="8"/>
      <c r="E190" s="8"/>
      <c r="F190" s="8"/>
      <c r="G190" s="8"/>
      <c r="H190" s="8"/>
      <c r="I190" s="8"/>
    </row>
    <row r="191" spans="1:9" x14ac:dyDescent="0.35">
      <c r="A191" s="10">
        <v>167</v>
      </c>
      <c r="B191" s="24">
        <v>10.118734492370923</v>
      </c>
      <c r="C191" s="24">
        <v>-1.1041589540836227E-2</v>
      </c>
      <c r="D191" s="8"/>
      <c r="E191" s="8"/>
      <c r="F191" s="8"/>
      <c r="G191" s="8"/>
      <c r="H191" s="8"/>
      <c r="I191" s="8"/>
    </row>
    <row r="192" spans="1:9" x14ac:dyDescent="0.35">
      <c r="A192" s="10">
        <v>168</v>
      </c>
      <c r="B192" s="24">
        <v>10.121493463406109</v>
      </c>
      <c r="C192" s="24">
        <v>-6.5301644234541101E-3</v>
      </c>
      <c r="D192" s="8"/>
      <c r="E192" s="8"/>
      <c r="F192" s="8"/>
      <c r="G192" s="8"/>
      <c r="H192" s="8"/>
      <c r="I192" s="8"/>
    </row>
    <row r="193" spans="1:9" x14ac:dyDescent="0.35">
      <c r="A193" s="10">
        <v>169</v>
      </c>
      <c r="B193" s="24">
        <v>10.124252434441297</v>
      </c>
      <c r="C193" s="24">
        <v>-5.3980064260343852E-2</v>
      </c>
      <c r="D193" s="8"/>
      <c r="E193" s="8"/>
      <c r="F193" s="8"/>
      <c r="G193" s="8"/>
      <c r="H193" s="8"/>
      <c r="I193" s="8"/>
    </row>
    <row r="194" spans="1:9" x14ac:dyDescent="0.35">
      <c r="A194" s="10">
        <v>170</v>
      </c>
      <c r="B194" s="24">
        <v>10.127011405476484</v>
      </c>
      <c r="C194" s="24">
        <v>4.2564238699165813E-2</v>
      </c>
      <c r="D194" s="8"/>
      <c r="E194" s="8"/>
      <c r="F194" s="8"/>
      <c r="G194" s="8"/>
      <c r="H194" s="8"/>
      <c r="I194" s="8"/>
    </row>
    <row r="195" spans="1:9" x14ac:dyDescent="0.35">
      <c r="A195" s="10">
        <v>171</v>
      </c>
      <c r="B195" s="24">
        <v>10.12977037651167</v>
      </c>
      <c r="C195" s="24">
        <v>-4.5462393307854398E-2</v>
      </c>
      <c r="D195" s="8"/>
      <c r="E195" s="8"/>
      <c r="F195" s="8"/>
      <c r="G195" s="8"/>
      <c r="H195" s="8"/>
      <c r="I195" s="8"/>
    </row>
    <row r="196" spans="1:9" x14ac:dyDescent="0.35">
      <c r="A196" s="10">
        <v>172</v>
      </c>
      <c r="B196" s="24">
        <v>10.132529347546857</v>
      </c>
      <c r="C196" s="24">
        <v>5.2710229410251941E-2</v>
      </c>
      <c r="D196" s="8"/>
      <c r="E196" s="8"/>
      <c r="F196" s="8"/>
      <c r="G196" s="8"/>
      <c r="H196" s="8"/>
      <c r="I196" s="8"/>
    </row>
    <row r="197" spans="1:9" x14ac:dyDescent="0.35">
      <c r="A197" s="10">
        <v>173</v>
      </c>
      <c r="B197" s="24">
        <v>10.135288318582045</v>
      </c>
      <c r="C197" s="24">
        <v>-3.319659857172752E-4</v>
      </c>
      <c r="D197" s="8"/>
      <c r="E197" s="8"/>
      <c r="F197" s="8"/>
      <c r="G197" s="8"/>
      <c r="H197" s="8"/>
      <c r="I197" s="8"/>
    </row>
    <row r="198" spans="1:9" x14ac:dyDescent="0.35">
      <c r="A198" s="10">
        <v>174</v>
      </c>
      <c r="B198" s="24">
        <v>10.138047289617232</v>
      </c>
      <c r="C198" s="24">
        <v>-5.4991968483770748E-2</v>
      </c>
      <c r="D198" s="8"/>
      <c r="E198" s="8"/>
      <c r="F198" s="8"/>
      <c r="G198" s="8"/>
      <c r="H198" s="8"/>
      <c r="I198" s="8"/>
    </row>
    <row r="199" spans="1:9" x14ac:dyDescent="0.35">
      <c r="A199" s="10">
        <v>175</v>
      </c>
      <c r="B199" s="24">
        <v>10.140806260652418</v>
      </c>
      <c r="C199" s="24">
        <v>9.3386933610585032E-2</v>
      </c>
      <c r="D199" s="8"/>
      <c r="E199" s="8"/>
      <c r="F199" s="8"/>
      <c r="G199" s="8"/>
      <c r="H199" s="8"/>
      <c r="I199" s="8"/>
    </row>
    <row r="200" spans="1:9" x14ac:dyDescent="0.35">
      <c r="A200" s="10">
        <v>176</v>
      </c>
      <c r="B200" s="24">
        <v>10.143565231687607</v>
      </c>
      <c r="C200" s="24">
        <v>-2.702486854743924E-2</v>
      </c>
      <c r="D200" s="8"/>
      <c r="E200" s="8"/>
      <c r="F200" s="8"/>
      <c r="G200" s="8"/>
      <c r="H200" s="8"/>
      <c r="I200" s="8"/>
    </row>
    <row r="201" spans="1:9" x14ac:dyDescent="0.35">
      <c r="A201" s="10">
        <v>177</v>
      </c>
      <c r="B201" s="24">
        <v>10.146324202722793</v>
      </c>
      <c r="C201" s="24">
        <v>-2.2777851834378637E-2</v>
      </c>
      <c r="D201" s="8"/>
      <c r="E201" s="8"/>
      <c r="F201" s="8"/>
      <c r="G201" s="8"/>
      <c r="H201" s="8"/>
      <c r="I201" s="8"/>
    </row>
    <row r="202" spans="1:9" x14ac:dyDescent="0.35">
      <c r="A202" s="10">
        <v>178</v>
      </c>
      <c r="B202" s="24">
        <v>10.14908317375798</v>
      </c>
      <c r="C202" s="24">
        <v>1.0634483080147916E-2</v>
      </c>
      <c r="D202" s="8"/>
      <c r="E202" s="8"/>
      <c r="F202" s="8"/>
      <c r="G202" s="8"/>
      <c r="H202" s="8"/>
      <c r="I202" s="8"/>
    </row>
    <row r="203" spans="1:9" x14ac:dyDescent="0.35">
      <c r="A203" s="10">
        <v>179</v>
      </c>
      <c r="B203" s="24">
        <v>10.151842144793166</v>
      </c>
      <c r="C203" s="24">
        <v>2.6774014123123635E-2</v>
      </c>
      <c r="D203" s="8"/>
      <c r="E203" s="8"/>
      <c r="F203" s="8"/>
      <c r="G203" s="8"/>
      <c r="H203" s="8"/>
      <c r="I203" s="8"/>
    </row>
    <row r="204" spans="1:9" ht="15" thickBot="1" x14ac:dyDescent="0.4">
      <c r="A204" s="11">
        <v>180</v>
      </c>
      <c r="B204" s="25">
        <v>10.154601115828354</v>
      </c>
      <c r="C204" s="25">
        <v>7.8989364362254122E-3</v>
      </c>
      <c r="D204" s="8"/>
      <c r="E204" s="8"/>
      <c r="F204" s="8"/>
      <c r="G204" s="8"/>
      <c r="H204" s="8"/>
      <c r="I204" s="8"/>
    </row>
  </sheetData>
  <mergeCells count="1">
    <mergeCell ref="D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5929-32DD-4D2A-ACA4-A3B6A93AD579}">
  <dimension ref="A1:O181"/>
  <sheetViews>
    <sheetView workbookViewId="0">
      <selection activeCell="M3" sqref="M3:O5"/>
    </sheetView>
  </sheetViews>
  <sheetFormatPr defaultRowHeight="14.5" x14ac:dyDescent="0.35"/>
  <cols>
    <col min="1" max="1" width="11.08984375" style="92" bestFit="1" customWidth="1"/>
    <col min="2" max="2" width="7.26953125" style="61" customWidth="1"/>
    <col min="3" max="3" width="20.6328125" style="93" bestFit="1" customWidth="1"/>
    <col min="4" max="4" width="6.81640625" style="61" customWidth="1"/>
    <col min="5" max="5" width="5.90625" style="61" customWidth="1"/>
    <col min="6" max="6" width="14.26953125" style="61" bestFit="1" customWidth="1"/>
    <col min="7" max="7" width="17.36328125" style="61" bestFit="1" customWidth="1"/>
    <col min="8" max="8" width="14.81640625" style="61" bestFit="1" customWidth="1"/>
    <col min="10" max="10" width="13.90625" bestFit="1" customWidth="1"/>
    <col min="11" max="11" width="6.453125" bestFit="1" customWidth="1"/>
  </cols>
  <sheetData>
    <row r="1" spans="1:15" ht="15" thickBot="1" x14ac:dyDescent="0.4">
      <c r="A1" s="76" t="s">
        <v>174</v>
      </c>
      <c r="B1" s="77" t="s">
        <v>175</v>
      </c>
      <c r="C1" s="83" t="s">
        <v>4</v>
      </c>
      <c r="D1" s="77" t="s">
        <v>175</v>
      </c>
      <c r="E1" s="77" t="s">
        <v>184</v>
      </c>
      <c r="F1" s="77" t="s">
        <v>214</v>
      </c>
      <c r="G1" s="77" t="s">
        <v>215</v>
      </c>
      <c r="H1" s="79" t="s">
        <v>216</v>
      </c>
    </row>
    <row r="2" spans="1:15" ht="15" thickBot="1" x14ac:dyDescent="0.4">
      <c r="A2" s="60" t="s">
        <v>0</v>
      </c>
      <c r="B2" s="61" t="str">
        <f t="shared" ref="B2:B33" si="0">MID(A2,6,4)</f>
        <v>2005</v>
      </c>
      <c r="C2" s="84">
        <v>14615</v>
      </c>
      <c r="D2" s="63">
        <v>2005</v>
      </c>
      <c r="E2" s="61">
        <v>1</v>
      </c>
      <c r="H2" s="97">
        <v>0.98079097156469441</v>
      </c>
      <c r="J2" s="76" t="s">
        <v>229</v>
      </c>
      <c r="K2" s="79" t="s">
        <v>176</v>
      </c>
    </row>
    <row r="3" spans="1:15" x14ac:dyDescent="0.35">
      <c r="A3" s="60" t="s">
        <v>1</v>
      </c>
      <c r="B3" s="61" t="str">
        <f t="shared" si="0"/>
        <v>2005</v>
      </c>
      <c r="C3" s="84">
        <v>14846</v>
      </c>
      <c r="D3" s="63">
        <v>2005</v>
      </c>
      <c r="E3" s="61">
        <v>2</v>
      </c>
      <c r="H3" s="97">
        <v>1.0323394347969677</v>
      </c>
      <c r="J3" s="94">
        <f t="shared" ref="J3:J14" si="1">AVERAGE(G13,G25,G37,G49,G61,G73,G85,G97,G109,G121,G133,G145,G157,G169,G181)</f>
        <v>1.0121735261994504</v>
      </c>
      <c r="K3" s="64" t="s">
        <v>217</v>
      </c>
      <c r="M3" s="119" t="s">
        <v>246</v>
      </c>
      <c r="N3" s="120"/>
      <c r="O3" s="121"/>
    </row>
    <row r="4" spans="1:15" ht="15.5" x14ac:dyDescent="0.35">
      <c r="A4" s="60" t="s">
        <v>2</v>
      </c>
      <c r="B4" s="61" t="str">
        <f t="shared" si="0"/>
        <v>2005</v>
      </c>
      <c r="C4" s="84">
        <v>14885</v>
      </c>
      <c r="D4" s="63">
        <v>2005</v>
      </c>
      <c r="E4" s="61">
        <v>3</v>
      </c>
      <c r="H4" s="97">
        <v>0.9922802514367296</v>
      </c>
      <c r="J4" s="103">
        <f t="shared" si="1"/>
        <v>0.98079097156469441</v>
      </c>
      <c r="K4" s="104" t="s">
        <v>218</v>
      </c>
      <c r="M4" s="122"/>
      <c r="N4" s="123"/>
      <c r="O4" s="124"/>
    </row>
    <row r="5" spans="1:15" ht="15" thickBot="1" x14ac:dyDescent="0.4">
      <c r="A5" s="60" t="s">
        <v>3</v>
      </c>
      <c r="B5" s="61" t="str">
        <f t="shared" si="0"/>
        <v>2005</v>
      </c>
      <c r="C5" s="84">
        <v>17103</v>
      </c>
      <c r="D5" s="63">
        <v>2005</v>
      </c>
      <c r="E5" s="61">
        <v>4</v>
      </c>
      <c r="H5" s="97">
        <v>1.1073678838309451</v>
      </c>
      <c r="J5" s="94">
        <f t="shared" si="1"/>
        <v>1.0323394347969677</v>
      </c>
      <c r="K5" s="64" t="s">
        <v>219</v>
      </c>
      <c r="M5" s="125"/>
      <c r="N5" s="126"/>
      <c r="O5" s="127"/>
    </row>
    <row r="6" spans="1:15" x14ac:dyDescent="0.35">
      <c r="A6" s="60" t="s">
        <v>5</v>
      </c>
      <c r="B6" s="61" t="str">
        <f t="shared" si="0"/>
        <v>2006</v>
      </c>
      <c r="C6" s="84">
        <v>15257</v>
      </c>
      <c r="D6" s="63">
        <v>2006</v>
      </c>
      <c r="E6" s="61">
        <v>5</v>
      </c>
      <c r="H6" s="97">
        <v>1.0234185080278571</v>
      </c>
      <c r="J6" s="94">
        <f t="shared" si="1"/>
        <v>0.9922802514367296</v>
      </c>
      <c r="K6" s="64" t="s">
        <v>220</v>
      </c>
    </row>
    <row r="7" spans="1:15" x14ac:dyDescent="0.35">
      <c r="A7" s="60" t="s">
        <v>6</v>
      </c>
      <c r="B7" s="61" t="str">
        <f t="shared" si="0"/>
        <v>2006</v>
      </c>
      <c r="C7" s="84">
        <v>14681</v>
      </c>
      <c r="D7" s="63">
        <v>2006</v>
      </c>
      <c r="E7" s="61">
        <v>6</v>
      </c>
      <c r="H7" s="97">
        <v>0.96778361364008814</v>
      </c>
      <c r="J7" s="94">
        <f t="shared" si="1"/>
        <v>1.1073678838309451</v>
      </c>
      <c r="K7" s="64" t="s">
        <v>221</v>
      </c>
    </row>
    <row r="8" spans="1:15" x14ac:dyDescent="0.35">
      <c r="A8" s="60" t="s">
        <v>7</v>
      </c>
      <c r="B8" s="61" t="str">
        <f t="shared" si="0"/>
        <v>2006</v>
      </c>
      <c r="C8" s="84">
        <v>16174</v>
      </c>
      <c r="D8" s="63">
        <v>2006</v>
      </c>
      <c r="E8" s="61">
        <v>7</v>
      </c>
      <c r="H8" s="97">
        <v>1.0471910079749045</v>
      </c>
      <c r="J8" s="94">
        <f t="shared" si="1"/>
        <v>1.0234185080278571</v>
      </c>
      <c r="K8" s="64" t="s">
        <v>222</v>
      </c>
    </row>
    <row r="9" spans="1:15" x14ac:dyDescent="0.35">
      <c r="A9" s="60" t="s">
        <v>8</v>
      </c>
      <c r="B9" s="61" t="str">
        <f t="shared" si="0"/>
        <v>2006</v>
      </c>
      <c r="C9" s="84">
        <v>15225</v>
      </c>
      <c r="D9" s="63">
        <v>2006</v>
      </c>
      <c r="E9" s="61">
        <v>8</v>
      </c>
      <c r="H9" s="97">
        <v>1.0057927338780821</v>
      </c>
      <c r="J9" s="94">
        <f t="shared" si="1"/>
        <v>0.96778361364008814</v>
      </c>
      <c r="K9" s="64" t="s">
        <v>223</v>
      </c>
    </row>
    <row r="10" spans="1:15" x14ac:dyDescent="0.35">
      <c r="A10" s="60" t="s">
        <v>177</v>
      </c>
      <c r="B10" s="61" t="str">
        <f t="shared" si="0"/>
        <v>2006</v>
      </c>
      <c r="C10" s="84">
        <v>16271</v>
      </c>
      <c r="D10" s="63">
        <v>2006</v>
      </c>
      <c r="E10" s="61">
        <v>9</v>
      </c>
      <c r="H10" s="97">
        <v>1.0311404366997561</v>
      </c>
      <c r="J10" s="94">
        <f t="shared" si="1"/>
        <v>1.0471910079749045</v>
      </c>
      <c r="K10" s="64" t="s">
        <v>224</v>
      </c>
    </row>
    <row r="11" spans="1:15" x14ac:dyDescent="0.35">
      <c r="A11" s="60" t="s">
        <v>9</v>
      </c>
      <c r="B11" s="61" t="str">
        <f t="shared" si="0"/>
        <v>2006</v>
      </c>
      <c r="C11" s="84">
        <v>15720</v>
      </c>
      <c r="D11" s="63">
        <v>2006</v>
      </c>
      <c r="E11" s="61">
        <v>10</v>
      </c>
      <c r="H11" s="97">
        <v>0.99647151229008235</v>
      </c>
      <c r="J11" s="94">
        <f t="shared" si="1"/>
        <v>1.0057927338780821</v>
      </c>
      <c r="K11" s="64" t="s">
        <v>225</v>
      </c>
    </row>
    <row r="12" spans="1:15" x14ac:dyDescent="0.35">
      <c r="A12" s="60" t="s">
        <v>10</v>
      </c>
      <c r="B12" s="61" t="str">
        <f t="shared" si="0"/>
        <v>2006</v>
      </c>
      <c r="C12" s="84">
        <v>15426</v>
      </c>
      <c r="D12" s="63">
        <v>2006</v>
      </c>
      <c r="E12" s="61">
        <v>11</v>
      </c>
      <c r="H12" s="97">
        <v>0.99924985141460465</v>
      </c>
      <c r="J12" s="94">
        <f t="shared" si="1"/>
        <v>1.0311404366997561</v>
      </c>
      <c r="K12" s="64" t="s">
        <v>226</v>
      </c>
    </row>
    <row r="13" spans="1:15" x14ac:dyDescent="0.35">
      <c r="A13" s="60" t="s">
        <v>11</v>
      </c>
      <c r="B13" s="61" t="str">
        <f t="shared" si="0"/>
        <v>2006</v>
      </c>
      <c r="C13" s="84">
        <v>16092</v>
      </c>
      <c r="D13" s="63">
        <v>2006</v>
      </c>
      <c r="E13" s="61">
        <v>12</v>
      </c>
      <c r="F13" s="91">
        <f>AVERAGE(C2:C13)</f>
        <v>15524.583333333334</v>
      </c>
      <c r="G13" s="49">
        <f>C13/F13</f>
        <v>1.0365495584959339</v>
      </c>
      <c r="H13" s="97">
        <v>1.0121735261994504</v>
      </c>
      <c r="J13" s="94">
        <f t="shared" si="1"/>
        <v>0.99647151229008235</v>
      </c>
      <c r="K13" s="64" t="s">
        <v>227</v>
      </c>
    </row>
    <row r="14" spans="1:15" ht="15" thickBot="1" x14ac:dyDescent="0.4">
      <c r="A14" s="60" t="s">
        <v>12</v>
      </c>
      <c r="B14" s="61" t="str">
        <f t="shared" si="0"/>
        <v>2006</v>
      </c>
      <c r="C14" s="84">
        <v>15483</v>
      </c>
      <c r="D14" s="63">
        <v>2006</v>
      </c>
      <c r="E14" s="61">
        <v>13</v>
      </c>
      <c r="F14" s="91">
        <f t="shared" ref="F14:F77" si="2">AVERAGE(C3:C14)</f>
        <v>15596.916666666666</v>
      </c>
      <c r="G14" s="49">
        <f t="shared" ref="G14:G77" si="3">C14/F14</f>
        <v>0.99269620598088304</v>
      </c>
      <c r="H14" s="97">
        <v>0.98079097156469441</v>
      </c>
      <c r="J14" s="95">
        <f t="shared" si="1"/>
        <v>0.99924985141460465</v>
      </c>
      <c r="K14" s="75" t="s">
        <v>228</v>
      </c>
    </row>
    <row r="15" spans="1:15" x14ac:dyDescent="0.35">
      <c r="A15" s="60" t="s">
        <v>13</v>
      </c>
      <c r="B15" s="61" t="str">
        <f t="shared" si="0"/>
        <v>2006</v>
      </c>
      <c r="C15" s="84">
        <v>16382</v>
      </c>
      <c r="D15" s="63">
        <v>2006</v>
      </c>
      <c r="E15" s="61">
        <v>14</v>
      </c>
      <c r="F15" s="91">
        <f t="shared" si="2"/>
        <v>15724.916666666666</v>
      </c>
      <c r="G15" s="49">
        <f t="shared" si="3"/>
        <v>1.0417861249927134</v>
      </c>
      <c r="H15" s="97">
        <v>1.0323394347969677</v>
      </c>
    </row>
    <row r="16" spans="1:15" x14ac:dyDescent="0.35">
      <c r="A16" s="60" t="s">
        <v>14</v>
      </c>
      <c r="B16" s="61" t="str">
        <f t="shared" si="0"/>
        <v>2006</v>
      </c>
      <c r="C16" s="84">
        <v>16252</v>
      </c>
      <c r="D16" s="63">
        <v>2006</v>
      </c>
      <c r="E16" s="61">
        <v>15</v>
      </c>
      <c r="F16" s="91">
        <f t="shared" si="2"/>
        <v>15838.833333333334</v>
      </c>
      <c r="G16" s="49">
        <f t="shared" si="3"/>
        <v>1.0260856755021939</v>
      </c>
      <c r="H16" s="97">
        <v>0.9922802514367296</v>
      </c>
    </row>
    <row r="17" spans="1:8" x14ac:dyDescent="0.35">
      <c r="A17" s="60" t="s">
        <v>15</v>
      </c>
      <c r="B17" s="61" t="str">
        <f t="shared" si="0"/>
        <v>2006</v>
      </c>
      <c r="C17" s="84">
        <v>18055</v>
      </c>
      <c r="D17" s="63">
        <v>2006</v>
      </c>
      <c r="E17" s="61">
        <v>16</v>
      </c>
      <c r="F17" s="91">
        <f t="shared" si="2"/>
        <v>15918.166666666666</v>
      </c>
      <c r="G17" s="49">
        <f t="shared" si="3"/>
        <v>1.1342386581369295</v>
      </c>
      <c r="H17" s="97">
        <v>1.1073678838309451</v>
      </c>
    </row>
    <row r="18" spans="1:8" x14ac:dyDescent="0.35">
      <c r="A18" s="60" t="s">
        <v>16</v>
      </c>
      <c r="B18" s="61" t="str">
        <f t="shared" si="0"/>
        <v>2007</v>
      </c>
      <c r="C18" s="84">
        <v>16985</v>
      </c>
      <c r="D18" s="63">
        <v>2007</v>
      </c>
      <c r="E18" s="61">
        <v>17</v>
      </c>
      <c r="F18" s="91">
        <f t="shared" si="2"/>
        <v>16062.166666666666</v>
      </c>
      <c r="G18" s="49">
        <f t="shared" si="3"/>
        <v>1.0574538511823852</v>
      </c>
      <c r="H18" s="97">
        <v>1.0234185080278571</v>
      </c>
    </row>
    <row r="19" spans="1:8" x14ac:dyDescent="0.35">
      <c r="A19" s="60" t="s">
        <v>17</v>
      </c>
      <c r="B19" s="61" t="str">
        <f t="shared" si="0"/>
        <v>2007</v>
      </c>
      <c r="C19" s="84">
        <v>15822</v>
      </c>
      <c r="D19" s="63">
        <v>2007</v>
      </c>
      <c r="E19" s="61">
        <v>18</v>
      </c>
      <c r="F19" s="91">
        <f t="shared" si="2"/>
        <v>16157.25</v>
      </c>
      <c r="G19" s="49">
        <f t="shared" si="3"/>
        <v>0.97925080072413317</v>
      </c>
      <c r="H19" s="97">
        <v>0.96778361364008814</v>
      </c>
    </row>
    <row r="20" spans="1:8" x14ac:dyDescent="0.35">
      <c r="A20" s="60" t="s">
        <v>18</v>
      </c>
      <c r="B20" s="61" t="str">
        <f t="shared" si="0"/>
        <v>2007</v>
      </c>
      <c r="C20" s="84">
        <v>17258</v>
      </c>
      <c r="D20" s="63">
        <v>2007</v>
      </c>
      <c r="E20" s="61">
        <v>19</v>
      </c>
      <c r="F20" s="91">
        <f t="shared" si="2"/>
        <v>16247.583333333334</v>
      </c>
      <c r="G20" s="49">
        <f t="shared" si="3"/>
        <v>1.0621887357607029</v>
      </c>
      <c r="H20" s="97">
        <v>1.0471910079749045</v>
      </c>
    </row>
    <row r="21" spans="1:8" x14ac:dyDescent="0.35">
      <c r="A21" s="60" t="s">
        <v>19</v>
      </c>
      <c r="B21" s="61" t="str">
        <f t="shared" si="0"/>
        <v>2007</v>
      </c>
      <c r="C21" s="84">
        <v>16532</v>
      </c>
      <c r="D21" s="63">
        <v>2007</v>
      </c>
      <c r="E21" s="61">
        <v>20</v>
      </c>
      <c r="F21" s="91">
        <f t="shared" si="2"/>
        <v>16356.5</v>
      </c>
      <c r="G21" s="49">
        <f t="shared" si="3"/>
        <v>1.0107296793323755</v>
      </c>
      <c r="H21" s="97">
        <v>1.0057927338780821</v>
      </c>
    </row>
    <row r="22" spans="1:8" x14ac:dyDescent="0.35">
      <c r="A22" s="60" t="s">
        <v>178</v>
      </c>
      <c r="B22" s="61" t="str">
        <f t="shared" si="0"/>
        <v>2007</v>
      </c>
      <c r="C22" s="84">
        <v>17279</v>
      </c>
      <c r="D22" s="63">
        <v>2007</v>
      </c>
      <c r="E22" s="61">
        <v>21</v>
      </c>
      <c r="F22" s="91">
        <f t="shared" si="2"/>
        <v>16440.5</v>
      </c>
      <c r="G22" s="49">
        <f t="shared" si="3"/>
        <v>1.0510020984763238</v>
      </c>
      <c r="H22" s="97">
        <v>1.0311404366997561</v>
      </c>
    </row>
    <row r="23" spans="1:8" x14ac:dyDescent="0.35">
      <c r="A23" s="60" t="s">
        <v>20</v>
      </c>
      <c r="B23" s="61" t="str">
        <f t="shared" si="0"/>
        <v>2007</v>
      </c>
      <c r="C23" s="84">
        <v>16497</v>
      </c>
      <c r="D23" s="63">
        <v>2007</v>
      </c>
      <c r="E23" s="61">
        <v>22</v>
      </c>
      <c r="F23" s="91">
        <f t="shared" si="2"/>
        <v>16505.25</v>
      </c>
      <c r="G23" s="49">
        <f t="shared" si="3"/>
        <v>0.99950015904030531</v>
      </c>
      <c r="H23" s="97">
        <v>0.99647151229008235</v>
      </c>
    </row>
    <row r="24" spans="1:8" x14ac:dyDescent="0.35">
      <c r="A24" s="60" t="s">
        <v>21</v>
      </c>
      <c r="B24" s="61" t="str">
        <f t="shared" si="0"/>
        <v>2007</v>
      </c>
      <c r="C24" s="84">
        <v>16542</v>
      </c>
      <c r="D24" s="63">
        <v>2007</v>
      </c>
      <c r="E24" s="61">
        <v>23</v>
      </c>
      <c r="F24" s="91">
        <f t="shared" si="2"/>
        <v>16598.25</v>
      </c>
      <c r="G24" s="49">
        <f t="shared" si="3"/>
        <v>0.99661108851836788</v>
      </c>
      <c r="H24" s="97">
        <v>0.99924985141460465</v>
      </c>
    </row>
    <row r="25" spans="1:8" x14ac:dyDescent="0.35">
      <c r="A25" s="60" t="s">
        <v>22</v>
      </c>
      <c r="B25" s="61" t="str">
        <f t="shared" si="0"/>
        <v>2007</v>
      </c>
      <c r="C25" s="84">
        <v>16992</v>
      </c>
      <c r="D25" s="63">
        <v>2007</v>
      </c>
      <c r="E25" s="61">
        <v>24</v>
      </c>
      <c r="F25" s="91">
        <f t="shared" si="2"/>
        <v>16673.25</v>
      </c>
      <c r="G25" s="49">
        <f t="shared" si="3"/>
        <v>1.0191174486077998</v>
      </c>
      <c r="H25" s="97">
        <v>1.0121735261994504</v>
      </c>
    </row>
    <row r="26" spans="1:8" x14ac:dyDescent="0.35">
      <c r="A26" s="60" t="s">
        <v>23</v>
      </c>
      <c r="B26" s="61" t="str">
        <f t="shared" si="0"/>
        <v>2007</v>
      </c>
      <c r="C26" s="84">
        <v>15966</v>
      </c>
      <c r="D26" s="63">
        <v>2007</v>
      </c>
      <c r="E26" s="61">
        <v>25</v>
      </c>
      <c r="F26" s="91">
        <f t="shared" si="2"/>
        <v>16713.5</v>
      </c>
      <c r="G26" s="49">
        <f t="shared" si="3"/>
        <v>0.9552756753522601</v>
      </c>
      <c r="H26" s="97">
        <v>0.98079097156469441</v>
      </c>
    </row>
    <row r="27" spans="1:8" x14ac:dyDescent="0.35">
      <c r="A27" s="60" t="s">
        <v>24</v>
      </c>
      <c r="B27" s="61" t="str">
        <f t="shared" si="0"/>
        <v>2007</v>
      </c>
      <c r="C27" s="84">
        <v>17264</v>
      </c>
      <c r="D27" s="63">
        <v>2007</v>
      </c>
      <c r="E27" s="61">
        <v>26</v>
      </c>
      <c r="F27" s="91">
        <f t="shared" si="2"/>
        <v>16787</v>
      </c>
      <c r="G27" s="49">
        <f t="shared" si="3"/>
        <v>1.0284148448203967</v>
      </c>
      <c r="H27" s="97">
        <v>1.0323394347969677</v>
      </c>
    </row>
    <row r="28" spans="1:8" x14ac:dyDescent="0.35">
      <c r="A28" s="60" t="s">
        <v>25</v>
      </c>
      <c r="B28" s="61" t="str">
        <f t="shared" si="0"/>
        <v>2007</v>
      </c>
      <c r="C28" s="84">
        <v>16713</v>
      </c>
      <c r="D28" s="63">
        <v>2007</v>
      </c>
      <c r="E28" s="61">
        <v>27</v>
      </c>
      <c r="F28" s="91">
        <f t="shared" si="2"/>
        <v>16825.416666666668</v>
      </c>
      <c r="G28" s="49">
        <f t="shared" si="3"/>
        <v>0.99331863995443392</v>
      </c>
      <c r="H28" s="97">
        <v>0.9922802514367296</v>
      </c>
    </row>
    <row r="29" spans="1:8" x14ac:dyDescent="0.35">
      <c r="A29" s="60" t="s">
        <v>26</v>
      </c>
      <c r="B29" s="61" t="str">
        <f t="shared" si="0"/>
        <v>2007</v>
      </c>
      <c r="C29" s="84">
        <v>18434</v>
      </c>
      <c r="D29" s="63">
        <v>2007</v>
      </c>
      <c r="E29" s="61">
        <v>28</v>
      </c>
      <c r="F29" s="91">
        <f t="shared" si="2"/>
        <v>16857</v>
      </c>
      <c r="G29" s="49">
        <f t="shared" si="3"/>
        <v>1.0935516402681378</v>
      </c>
      <c r="H29" s="97">
        <v>1.1073678838309451</v>
      </c>
    </row>
    <row r="30" spans="1:8" x14ac:dyDescent="0.35">
      <c r="A30" s="60" t="s">
        <v>27</v>
      </c>
      <c r="B30" s="61" t="str">
        <f t="shared" si="0"/>
        <v>2008</v>
      </c>
      <c r="C30" s="84">
        <v>17449</v>
      </c>
      <c r="D30" s="63">
        <v>2008</v>
      </c>
      <c r="E30" s="61">
        <v>29</v>
      </c>
      <c r="F30" s="91">
        <f t="shared" si="2"/>
        <v>16895.666666666668</v>
      </c>
      <c r="G30" s="49">
        <f t="shared" si="3"/>
        <v>1.0327500147966933</v>
      </c>
      <c r="H30" s="97">
        <v>1.0234185080278571</v>
      </c>
    </row>
    <row r="31" spans="1:8" x14ac:dyDescent="0.35">
      <c r="A31" s="60" t="s">
        <v>28</v>
      </c>
      <c r="B31" s="61" t="str">
        <f t="shared" si="0"/>
        <v>2008</v>
      </c>
      <c r="C31" s="84">
        <v>17201</v>
      </c>
      <c r="D31" s="63">
        <v>2008</v>
      </c>
      <c r="E31" s="61">
        <v>30</v>
      </c>
      <c r="F31" s="91">
        <f t="shared" si="2"/>
        <v>17010.583333333332</v>
      </c>
      <c r="G31" s="49">
        <f t="shared" si="3"/>
        <v>1.0111940115712277</v>
      </c>
      <c r="H31" s="97">
        <v>0.96778361364008814</v>
      </c>
    </row>
    <row r="32" spans="1:8" x14ac:dyDescent="0.35">
      <c r="A32" s="60" t="s">
        <v>29</v>
      </c>
      <c r="B32" s="61" t="str">
        <f t="shared" si="0"/>
        <v>2008</v>
      </c>
      <c r="C32" s="84">
        <v>17719</v>
      </c>
      <c r="D32" s="63">
        <v>2008</v>
      </c>
      <c r="E32" s="61">
        <v>31</v>
      </c>
      <c r="F32" s="91">
        <f t="shared" si="2"/>
        <v>17049</v>
      </c>
      <c r="G32" s="49">
        <f t="shared" si="3"/>
        <v>1.03929849258021</v>
      </c>
      <c r="H32" s="97">
        <v>1.0471910079749045</v>
      </c>
    </row>
    <row r="33" spans="1:8" x14ac:dyDescent="0.35">
      <c r="A33" s="60" t="s">
        <v>30</v>
      </c>
      <c r="B33" s="61" t="str">
        <f t="shared" si="0"/>
        <v>2008</v>
      </c>
      <c r="C33" s="84">
        <v>17143</v>
      </c>
      <c r="D33" s="63">
        <v>2008</v>
      </c>
      <c r="E33" s="61">
        <v>32</v>
      </c>
      <c r="F33" s="91">
        <f t="shared" si="2"/>
        <v>17099.916666666668</v>
      </c>
      <c r="G33" s="49">
        <f t="shared" si="3"/>
        <v>1.0025195054556795</v>
      </c>
      <c r="H33" s="97">
        <v>1.0057927338780821</v>
      </c>
    </row>
    <row r="34" spans="1:8" x14ac:dyDescent="0.35">
      <c r="A34" s="60" t="s">
        <v>179</v>
      </c>
      <c r="B34" s="61" t="str">
        <f t="shared" ref="B34:B65" si="4">MID(A34,6,4)</f>
        <v>2008</v>
      </c>
      <c r="C34" s="84">
        <v>17871</v>
      </c>
      <c r="D34" s="63">
        <v>2008</v>
      </c>
      <c r="E34" s="61">
        <v>33</v>
      </c>
      <c r="F34" s="91">
        <f t="shared" si="2"/>
        <v>17149.25</v>
      </c>
      <c r="G34" s="49">
        <f t="shared" si="3"/>
        <v>1.042086388617578</v>
      </c>
      <c r="H34" s="97">
        <v>1.0311404366997561</v>
      </c>
    </row>
    <row r="35" spans="1:8" x14ac:dyDescent="0.35">
      <c r="A35" s="60" t="s">
        <v>31</v>
      </c>
      <c r="B35" s="61" t="str">
        <f t="shared" si="4"/>
        <v>2008</v>
      </c>
      <c r="C35" s="84">
        <v>17038</v>
      </c>
      <c r="D35" s="63">
        <v>2008</v>
      </c>
      <c r="E35" s="61">
        <v>34</v>
      </c>
      <c r="F35" s="91">
        <f t="shared" si="2"/>
        <v>17194.333333333332</v>
      </c>
      <c r="G35" s="49">
        <f t="shared" si="3"/>
        <v>0.99090785723978836</v>
      </c>
      <c r="H35" s="97">
        <v>0.99647151229008235</v>
      </c>
    </row>
    <row r="36" spans="1:8" x14ac:dyDescent="0.35">
      <c r="A36" s="60" t="s">
        <v>32</v>
      </c>
      <c r="B36" s="61" t="str">
        <f t="shared" si="4"/>
        <v>2008</v>
      </c>
      <c r="C36" s="84">
        <v>17413</v>
      </c>
      <c r="D36" s="63">
        <v>2008</v>
      </c>
      <c r="E36" s="61">
        <v>35</v>
      </c>
      <c r="F36" s="91">
        <f t="shared" si="2"/>
        <v>17266.916666666668</v>
      </c>
      <c r="G36" s="49">
        <f t="shared" si="3"/>
        <v>1.0084603022157015</v>
      </c>
      <c r="H36" s="97">
        <v>0.99924985141460465</v>
      </c>
    </row>
    <row r="37" spans="1:8" x14ac:dyDescent="0.35">
      <c r="A37" s="60" t="s">
        <v>33</v>
      </c>
      <c r="B37" s="61" t="str">
        <f t="shared" si="4"/>
        <v>2008</v>
      </c>
      <c r="C37" s="84">
        <v>17200</v>
      </c>
      <c r="D37" s="63">
        <v>2008</v>
      </c>
      <c r="E37" s="61">
        <v>36</v>
      </c>
      <c r="F37" s="91">
        <f t="shared" si="2"/>
        <v>17284.25</v>
      </c>
      <c r="G37" s="49">
        <f t="shared" si="3"/>
        <v>0.99512562014550821</v>
      </c>
      <c r="H37" s="97">
        <v>1.0121735261994504</v>
      </c>
    </row>
    <row r="38" spans="1:8" x14ac:dyDescent="0.35">
      <c r="A38" s="60" t="s">
        <v>34</v>
      </c>
      <c r="B38" s="61" t="str">
        <f t="shared" si="4"/>
        <v>2008</v>
      </c>
      <c r="C38" s="84">
        <v>17176</v>
      </c>
      <c r="D38" s="63">
        <v>2008</v>
      </c>
      <c r="E38" s="61">
        <v>37</v>
      </c>
      <c r="F38" s="91">
        <f t="shared" si="2"/>
        <v>17385.083333333332</v>
      </c>
      <c r="G38" s="49">
        <f t="shared" si="3"/>
        <v>0.98797340632055264</v>
      </c>
      <c r="H38" s="97">
        <v>0.98079097156469441</v>
      </c>
    </row>
    <row r="39" spans="1:8" x14ac:dyDescent="0.35">
      <c r="A39" s="60" t="s">
        <v>35</v>
      </c>
      <c r="B39" s="61" t="str">
        <f t="shared" si="4"/>
        <v>2008</v>
      </c>
      <c r="C39" s="84">
        <v>18019</v>
      </c>
      <c r="D39" s="63">
        <v>2008</v>
      </c>
      <c r="E39" s="61">
        <v>38</v>
      </c>
      <c r="F39" s="91">
        <f t="shared" si="2"/>
        <v>17448</v>
      </c>
      <c r="G39" s="49">
        <f t="shared" si="3"/>
        <v>1.0327258138468591</v>
      </c>
      <c r="H39" s="97">
        <v>1.0323394347969677</v>
      </c>
    </row>
    <row r="40" spans="1:8" x14ac:dyDescent="0.35">
      <c r="A40" s="60" t="s">
        <v>36</v>
      </c>
      <c r="B40" s="61" t="str">
        <f t="shared" si="4"/>
        <v>2008</v>
      </c>
      <c r="C40" s="84">
        <v>16975</v>
      </c>
      <c r="D40" s="63">
        <v>2008</v>
      </c>
      <c r="E40" s="61">
        <v>39</v>
      </c>
      <c r="F40" s="91">
        <f t="shared" si="2"/>
        <v>17469.833333333332</v>
      </c>
      <c r="G40" s="49">
        <f t="shared" si="3"/>
        <v>0.97167498258903451</v>
      </c>
      <c r="H40" s="97">
        <v>0.9922802514367296</v>
      </c>
    </row>
    <row r="41" spans="1:8" x14ac:dyDescent="0.35">
      <c r="A41" s="60" t="s">
        <v>37</v>
      </c>
      <c r="B41" s="61" t="str">
        <f t="shared" si="4"/>
        <v>2008</v>
      </c>
      <c r="C41" s="84">
        <v>19653</v>
      </c>
      <c r="D41" s="63">
        <v>2008</v>
      </c>
      <c r="E41" s="61">
        <v>40</v>
      </c>
      <c r="F41" s="91">
        <f t="shared" si="2"/>
        <v>17571.416666666668</v>
      </c>
      <c r="G41" s="49">
        <f t="shared" si="3"/>
        <v>1.1184641724012008</v>
      </c>
      <c r="H41" s="97">
        <v>1.1073678838309451</v>
      </c>
    </row>
    <row r="42" spans="1:8" x14ac:dyDescent="0.35">
      <c r="A42" s="60" t="s">
        <v>38</v>
      </c>
      <c r="B42" s="61" t="str">
        <f t="shared" si="4"/>
        <v>2009</v>
      </c>
      <c r="C42" s="84">
        <v>17741</v>
      </c>
      <c r="D42" s="63">
        <v>2009</v>
      </c>
      <c r="E42" s="61">
        <v>41</v>
      </c>
      <c r="F42" s="91">
        <f t="shared" si="2"/>
        <v>17595.75</v>
      </c>
      <c r="G42" s="49">
        <f t="shared" si="3"/>
        <v>1.0082548342639557</v>
      </c>
      <c r="H42" s="97">
        <v>1.0234185080278571</v>
      </c>
    </row>
    <row r="43" spans="1:8" x14ac:dyDescent="0.35">
      <c r="A43" s="60" t="s">
        <v>39</v>
      </c>
      <c r="B43" s="61" t="str">
        <f t="shared" si="4"/>
        <v>2009</v>
      </c>
      <c r="C43" s="84">
        <v>17028</v>
      </c>
      <c r="D43" s="63">
        <v>2009</v>
      </c>
      <c r="E43" s="61">
        <v>42</v>
      </c>
      <c r="F43" s="91">
        <f t="shared" si="2"/>
        <v>17581.333333333332</v>
      </c>
      <c r="G43" s="49">
        <f t="shared" si="3"/>
        <v>0.96852722584559392</v>
      </c>
      <c r="H43" s="97">
        <v>0.96778361364008814</v>
      </c>
    </row>
    <row r="44" spans="1:8" x14ac:dyDescent="0.35">
      <c r="A44" s="60" t="s">
        <v>40</v>
      </c>
      <c r="B44" s="61" t="str">
        <f t="shared" si="4"/>
        <v>2009</v>
      </c>
      <c r="C44" s="84">
        <v>18501</v>
      </c>
      <c r="D44" s="63">
        <v>2009</v>
      </c>
      <c r="E44" s="61">
        <v>43</v>
      </c>
      <c r="F44" s="91">
        <f t="shared" si="2"/>
        <v>17646.5</v>
      </c>
      <c r="G44" s="49">
        <f t="shared" si="3"/>
        <v>1.048423200068002</v>
      </c>
      <c r="H44" s="97">
        <v>1.0471910079749045</v>
      </c>
    </row>
    <row r="45" spans="1:8" x14ac:dyDescent="0.35">
      <c r="A45" s="60" t="s">
        <v>41</v>
      </c>
      <c r="B45" s="61" t="str">
        <f t="shared" si="4"/>
        <v>2009</v>
      </c>
      <c r="C45" s="84">
        <v>18226</v>
      </c>
      <c r="D45" s="63">
        <v>2009</v>
      </c>
      <c r="E45" s="61">
        <v>44</v>
      </c>
      <c r="F45" s="91">
        <f t="shared" si="2"/>
        <v>17736.75</v>
      </c>
      <c r="G45" s="49">
        <f t="shared" si="3"/>
        <v>1.0275839711333812</v>
      </c>
      <c r="H45" s="97">
        <v>1.0057927338780821</v>
      </c>
    </row>
    <row r="46" spans="1:8" x14ac:dyDescent="0.35">
      <c r="A46" s="60" t="s">
        <v>180</v>
      </c>
      <c r="B46" s="61" t="str">
        <f t="shared" si="4"/>
        <v>2009</v>
      </c>
      <c r="C46" s="84">
        <v>18146</v>
      </c>
      <c r="D46" s="63">
        <v>2009</v>
      </c>
      <c r="E46" s="61">
        <v>45</v>
      </c>
      <c r="F46" s="91">
        <f t="shared" si="2"/>
        <v>17759.666666666668</v>
      </c>
      <c r="G46" s="49">
        <f t="shared" si="3"/>
        <v>1.0217534112877493</v>
      </c>
      <c r="H46" s="97">
        <v>1.0311404366997561</v>
      </c>
    </row>
    <row r="47" spans="1:8" x14ac:dyDescent="0.35">
      <c r="A47" s="60" t="s">
        <v>42</v>
      </c>
      <c r="B47" s="61" t="str">
        <f t="shared" si="4"/>
        <v>2009</v>
      </c>
      <c r="C47" s="84">
        <v>17944</v>
      </c>
      <c r="D47" s="63">
        <v>2009</v>
      </c>
      <c r="E47" s="61">
        <v>46</v>
      </c>
      <c r="F47" s="91">
        <f t="shared" si="2"/>
        <v>17835.166666666668</v>
      </c>
      <c r="G47" s="49">
        <f t="shared" si="3"/>
        <v>1.0061021764117706</v>
      </c>
      <c r="H47" s="97">
        <v>0.99647151229008235</v>
      </c>
    </row>
    <row r="48" spans="1:8" x14ac:dyDescent="0.35">
      <c r="A48" s="60" t="s">
        <v>43</v>
      </c>
      <c r="B48" s="61" t="str">
        <f t="shared" si="4"/>
        <v>2009</v>
      </c>
      <c r="C48" s="84">
        <v>17957</v>
      </c>
      <c r="D48" s="63">
        <v>2009</v>
      </c>
      <c r="E48" s="61">
        <v>47</v>
      </c>
      <c r="F48" s="91">
        <f t="shared" si="2"/>
        <v>17880.5</v>
      </c>
      <c r="G48" s="49">
        <f t="shared" si="3"/>
        <v>1.0042784038477672</v>
      </c>
      <c r="H48" s="97">
        <v>0.99924985141460465</v>
      </c>
    </row>
    <row r="49" spans="1:8" x14ac:dyDescent="0.35">
      <c r="A49" s="60" t="s">
        <v>44</v>
      </c>
      <c r="B49" s="61" t="str">
        <f t="shared" si="4"/>
        <v>2009</v>
      </c>
      <c r="C49" s="84">
        <v>17604</v>
      </c>
      <c r="D49" s="63">
        <v>2009</v>
      </c>
      <c r="E49" s="61">
        <v>48</v>
      </c>
      <c r="F49" s="91">
        <f t="shared" si="2"/>
        <v>17914.166666666668</v>
      </c>
      <c r="G49" s="49">
        <f t="shared" si="3"/>
        <v>0.98268595617993204</v>
      </c>
      <c r="H49" s="97">
        <v>1.0121735261994504</v>
      </c>
    </row>
    <row r="50" spans="1:8" x14ac:dyDescent="0.35">
      <c r="A50" s="60" t="s">
        <v>45</v>
      </c>
      <c r="B50" s="61" t="str">
        <f t="shared" si="4"/>
        <v>2009</v>
      </c>
      <c r="C50" s="84">
        <v>17770</v>
      </c>
      <c r="D50" s="63">
        <v>2009</v>
      </c>
      <c r="E50" s="61">
        <v>49</v>
      </c>
      <c r="F50" s="91">
        <f t="shared" si="2"/>
        <v>17963.666666666668</v>
      </c>
      <c r="G50" s="49">
        <f t="shared" si="3"/>
        <v>0.9892189790503052</v>
      </c>
      <c r="H50" s="97">
        <v>0.98079097156469441</v>
      </c>
    </row>
    <row r="51" spans="1:8" x14ac:dyDescent="0.35">
      <c r="A51" s="60" t="s">
        <v>46</v>
      </c>
      <c r="B51" s="61" t="str">
        <f t="shared" si="4"/>
        <v>2009</v>
      </c>
      <c r="C51" s="84">
        <v>18492</v>
      </c>
      <c r="D51" s="63">
        <v>2009</v>
      </c>
      <c r="E51" s="61">
        <v>50</v>
      </c>
      <c r="F51" s="91">
        <f t="shared" si="2"/>
        <v>18003.083333333332</v>
      </c>
      <c r="G51" s="49">
        <f t="shared" si="3"/>
        <v>1.0271573850775562</v>
      </c>
      <c r="H51" s="97">
        <v>1.0323394347969677</v>
      </c>
    </row>
    <row r="52" spans="1:8" x14ac:dyDescent="0.35">
      <c r="A52" s="60" t="s">
        <v>47</v>
      </c>
      <c r="B52" s="61" t="str">
        <f t="shared" si="4"/>
        <v>2009</v>
      </c>
      <c r="C52" s="84">
        <v>17784</v>
      </c>
      <c r="D52" s="63">
        <v>2009</v>
      </c>
      <c r="E52" s="61">
        <v>51</v>
      </c>
      <c r="F52" s="91">
        <f t="shared" si="2"/>
        <v>18070.5</v>
      </c>
      <c r="G52" s="49">
        <f t="shared" si="3"/>
        <v>0.98414543039760938</v>
      </c>
      <c r="H52" s="97">
        <v>0.9922802514367296</v>
      </c>
    </row>
    <row r="53" spans="1:8" x14ac:dyDescent="0.35">
      <c r="A53" s="60" t="s">
        <v>48</v>
      </c>
      <c r="B53" s="61" t="str">
        <f t="shared" si="4"/>
        <v>2009</v>
      </c>
      <c r="C53" s="84">
        <v>20067</v>
      </c>
      <c r="D53" s="63">
        <v>2009</v>
      </c>
      <c r="E53" s="61">
        <v>52</v>
      </c>
      <c r="F53" s="91">
        <f t="shared" si="2"/>
        <v>18105</v>
      </c>
      <c r="G53" s="49">
        <f t="shared" si="3"/>
        <v>1.108367854183927</v>
      </c>
      <c r="H53" s="97">
        <v>1.1073678838309451</v>
      </c>
    </row>
    <row r="54" spans="1:8" x14ac:dyDescent="0.35">
      <c r="A54" s="65" t="s">
        <v>49</v>
      </c>
      <c r="B54" s="61" t="str">
        <f t="shared" si="4"/>
        <v>2010</v>
      </c>
      <c r="C54" s="85">
        <v>17874</v>
      </c>
      <c r="D54" s="63">
        <v>2010</v>
      </c>
      <c r="E54" s="61">
        <v>53</v>
      </c>
      <c r="F54" s="91">
        <f t="shared" si="2"/>
        <v>18116.083333333332</v>
      </c>
      <c r="G54" s="49">
        <f t="shared" si="3"/>
        <v>0.98663710423058704</v>
      </c>
      <c r="H54" s="97">
        <v>1.0234185080278571</v>
      </c>
    </row>
    <row r="55" spans="1:8" x14ac:dyDescent="0.35">
      <c r="A55" s="65" t="s">
        <v>50</v>
      </c>
      <c r="B55" s="61" t="str">
        <f t="shared" si="4"/>
        <v>2010</v>
      </c>
      <c r="C55" s="85">
        <v>17171</v>
      </c>
      <c r="D55" s="63">
        <v>2010</v>
      </c>
      <c r="E55" s="61">
        <v>54</v>
      </c>
      <c r="F55" s="91">
        <f t="shared" si="2"/>
        <v>18128</v>
      </c>
      <c r="G55" s="49">
        <f t="shared" si="3"/>
        <v>0.94720873786407767</v>
      </c>
      <c r="H55" s="97">
        <v>0.96778361364008814</v>
      </c>
    </row>
    <row r="56" spans="1:8" x14ac:dyDescent="0.35">
      <c r="A56" s="65" t="s">
        <v>51</v>
      </c>
      <c r="B56" s="61" t="str">
        <f t="shared" si="4"/>
        <v>2010</v>
      </c>
      <c r="C56" s="85">
        <v>19214</v>
      </c>
      <c r="D56" s="63">
        <v>2010</v>
      </c>
      <c r="E56" s="61">
        <v>55</v>
      </c>
      <c r="F56" s="91">
        <f t="shared" si="2"/>
        <v>18187.416666666668</v>
      </c>
      <c r="G56" s="49">
        <f t="shared" si="3"/>
        <v>1.0564447030685133</v>
      </c>
      <c r="H56" s="97">
        <v>1.0471910079749045</v>
      </c>
    </row>
    <row r="57" spans="1:8" x14ac:dyDescent="0.35">
      <c r="A57" s="65" t="s">
        <v>52</v>
      </c>
      <c r="B57" s="61" t="str">
        <f t="shared" si="4"/>
        <v>2010</v>
      </c>
      <c r="C57" s="85">
        <v>18340</v>
      </c>
      <c r="D57" s="63">
        <v>2010</v>
      </c>
      <c r="E57" s="61">
        <v>56</v>
      </c>
      <c r="F57" s="91">
        <f t="shared" si="2"/>
        <v>18196.916666666668</v>
      </c>
      <c r="G57" s="49">
        <f t="shared" si="3"/>
        <v>1.0078630537224713</v>
      </c>
      <c r="H57" s="97">
        <v>1.0057927338780821</v>
      </c>
    </row>
    <row r="58" spans="1:8" x14ac:dyDescent="0.35">
      <c r="A58" s="67" t="s">
        <v>181</v>
      </c>
      <c r="B58" s="61" t="str">
        <f t="shared" si="4"/>
        <v>2010</v>
      </c>
      <c r="C58" s="85">
        <v>18295</v>
      </c>
      <c r="D58" s="63">
        <v>2010</v>
      </c>
      <c r="E58" s="61">
        <v>57</v>
      </c>
      <c r="F58" s="91">
        <f t="shared" si="2"/>
        <v>18209.333333333332</v>
      </c>
      <c r="G58" s="49">
        <f t="shared" si="3"/>
        <v>1.0047045471186937</v>
      </c>
      <c r="H58" s="97">
        <v>1.0311404366997561</v>
      </c>
    </row>
    <row r="59" spans="1:8" x14ac:dyDescent="0.35">
      <c r="A59" s="65" t="s">
        <v>53</v>
      </c>
      <c r="B59" s="61" t="str">
        <f t="shared" si="4"/>
        <v>2010</v>
      </c>
      <c r="C59" s="85">
        <v>18372</v>
      </c>
      <c r="D59" s="63">
        <v>2010</v>
      </c>
      <c r="E59" s="61">
        <v>58</v>
      </c>
      <c r="F59" s="91">
        <f t="shared" si="2"/>
        <v>18245</v>
      </c>
      <c r="G59" s="49">
        <f t="shared" si="3"/>
        <v>1.0069608111811454</v>
      </c>
      <c r="H59" s="97">
        <v>0.99647151229008235</v>
      </c>
    </row>
    <row r="60" spans="1:8" x14ac:dyDescent="0.35">
      <c r="A60" s="65" t="s">
        <v>54</v>
      </c>
      <c r="B60" s="61" t="str">
        <f t="shared" si="4"/>
        <v>2010</v>
      </c>
      <c r="C60" s="85">
        <v>18170</v>
      </c>
      <c r="D60" s="63">
        <v>2010</v>
      </c>
      <c r="E60" s="61">
        <v>59</v>
      </c>
      <c r="F60" s="91">
        <f t="shared" si="2"/>
        <v>18262.75</v>
      </c>
      <c r="G60" s="49">
        <f t="shared" si="3"/>
        <v>0.99492135631271306</v>
      </c>
      <c r="H60" s="97">
        <v>0.99924985141460465</v>
      </c>
    </row>
    <row r="61" spans="1:8" x14ac:dyDescent="0.35">
      <c r="A61" s="65" t="s">
        <v>55</v>
      </c>
      <c r="B61" s="61" t="str">
        <f t="shared" si="4"/>
        <v>2010</v>
      </c>
      <c r="C61" s="85">
        <v>18328</v>
      </c>
      <c r="D61" s="63">
        <v>2010</v>
      </c>
      <c r="E61" s="61">
        <v>60</v>
      </c>
      <c r="F61" s="91">
        <f t="shared" si="2"/>
        <v>18323.083333333332</v>
      </c>
      <c r="G61" s="49">
        <f t="shared" si="3"/>
        <v>1.0002683318400742</v>
      </c>
      <c r="H61" s="97">
        <v>1.0121735261994504</v>
      </c>
    </row>
    <row r="62" spans="1:8" x14ac:dyDescent="0.35">
      <c r="A62" s="65" t="s">
        <v>56</v>
      </c>
      <c r="B62" s="61" t="str">
        <f t="shared" si="4"/>
        <v>2010</v>
      </c>
      <c r="C62" s="85">
        <v>18124</v>
      </c>
      <c r="D62" s="63">
        <v>2010</v>
      </c>
      <c r="E62" s="61">
        <v>61</v>
      </c>
      <c r="F62" s="91">
        <f t="shared" si="2"/>
        <v>18352.583333333332</v>
      </c>
      <c r="G62" s="49">
        <f t="shared" si="3"/>
        <v>0.98754489604097517</v>
      </c>
      <c r="H62" s="97">
        <v>0.98079097156469441</v>
      </c>
    </row>
    <row r="63" spans="1:8" x14ac:dyDescent="0.35">
      <c r="A63" s="65" t="s">
        <v>57</v>
      </c>
      <c r="B63" s="61" t="str">
        <f t="shared" si="4"/>
        <v>2010</v>
      </c>
      <c r="C63" s="85">
        <v>18611</v>
      </c>
      <c r="D63" s="63">
        <v>2010</v>
      </c>
      <c r="E63" s="61">
        <v>62</v>
      </c>
      <c r="F63" s="91">
        <f t="shared" si="2"/>
        <v>18362.5</v>
      </c>
      <c r="G63" s="49">
        <f t="shared" si="3"/>
        <v>1.0135330156569096</v>
      </c>
      <c r="H63" s="97">
        <v>1.0323394347969677</v>
      </c>
    </row>
    <row r="64" spans="1:8" x14ac:dyDescent="0.35">
      <c r="A64" s="65" t="s">
        <v>58</v>
      </c>
      <c r="B64" s="61" t="str">
        <f t="shared" si="4"/>
        <v>2010</v>
      </c>
      <c r="C64" s="85">
        <v>18724</v>
      </c>
      <c r="D64" s="63">
        <v>2010</v>
      </c>
      <c r="E64" s="61">
        <v>63</v>
      </c>
      <c r="F64" s="91">
        <f t="shared" si="2"/>
        <v>18440.833333333332</v>
      </c>
      <c r="G64" s="49">
        <f t="shared" si="3"/>
        <v>1.0153554159699942</v>
      </c>
      <c r="H64" s="97">
        <v>0.9922802514367296</v>
      </c>
    </row>
    <row r="65" spans="1:8" x14ac:dyDescent="0.35">
      <c r="A65" s="65" t="s">
        <v>59</v>
      </c>
      <c r="B65" s="61" t="str">
        <f t="shared" si="4"/>
        <v>2010</v>
      </c>
      <c r="C65" s="85">
        <v>21007</v>
      </c>
      <c r="D65" s="63">
        <v>2010</v>
      </c>
      <c r="E65" s="61">
        <v>64</v>
      </c>
      <c r="F65" s="91">
        <f t="shared" si="2"/>
        <v>18519.166666666668</v>
      </c>
      <c r="G65" s="49">
        <f t="shared" si="3"/>
        <v>1.1343382981595644</v>
      </c>
      <c r="H65" s="97">
        <v>1.1073678838309451</v>
      </c>
    </row>
    <row r="66" spans="1:8" x14ac:dyDescent="0.35">
      <c r="A66" s="65" t="s">
        <v>60</v>
      </c>
      <c r="B66" s="61" t="str">
        <f t="shared" ref="B66:B97" si="5">MID(A66,6,4)</f>
        <v>2011</v>
      </c>
      <c r="C66" s="85">
        <v>19155</v>
      </c>
      <c r="D66" s="63">
        <v>2011</v>
      </c>
      <c r="E66" s="61">
        <v>65</v>
      </c>
      <c r="F66" s="91">
        <f t="shared" si="2"/>
        <v>18625.916666666668</v>
      </c>
      <c r="G66" s="49">
        <f t="shared" si="3"/>
        <v>1.0284057607902966</v>
      </c>
      <c r="H66" s="97">
        <v>1.0234185080278571</v>
      </c>
    </row>
    <row r="67" spans="1:8" x14ac:dyDescent="0.35">
      <c r="A67" s="65" t="s">
        <v>61</v>
      </c>
      <c r="B67" s="61" t="str">
        <f t="shared" si="5"/>
        <v>2011</v>
      </c>
      <c r="C67" s="85">
        <v>18117</v>
      </c>
      <c r="D67" s="63">
        <v>2011</v>
      </c>
      <c r="E67" s="61">
        <v>66</v>
      </c>
      <c r="F67" s="91">
        <f t="shared" si="2"/>
        <v>18704.75</v>
      </c>
      <c r="G67" s="49">
        <f t="shared" si="3"/>
        <v>0.96857750036755375</v>
      </c>
      <c r="H67" s="97">
        <v>0.96778361364008814</v>
      </c>
    </row>
    <row r="68" spans="1:8" x14ac:dyDescent="0.35">
      <c r="A68" s="65" t="s">
        <v>62</v>
      </c>
      <c r="B68" s="61" t="str">
        <f t="shared" si="5"/>
        <v>2011</v>
      </c>
      <c r="C68" s="85">
        <v>20042</v>
      </c>
      <c r="D68" s="63">
        <v>2011</v>
      </c>
      <c r="E68" s="61">
        <v>67</v>
      </c>
      <c r="F68" s="91">
        <f t="shared" si="2"/>
        <v>18773.75</v>
      </c>
      <c r="G68" s="49">
        <f t="shared" si="3"/>
        <v>1.0675544310539982</v>
      </c>
      <c r="H68" s="97">
        <v>1.0471910079749045</v>
      </c>
    </row>
    <row r="69" spans="1:8" x14ac:dyDescent="0.35">
      <c r="A69" s="65" t="s">
        <v>63</v>
      </c>
      <c r="B69" s="61" t="str">
        <f t="shared" si="5"/>
        <v>2011</v>
      </c>
      <c r="C69" s="85">
        <v>18944</v>
      </c>
      <c r="D69" s="63">
        <v>2011</v>
      </c>
      <c r="E69" s="61">
        <v>68</v>
      </c>
      <c r="F69" s="91">
        <f t="shared" si="2"/>
        <v>18824.083333333332</v>
      </c>
      <c r="G69" s="49">
        <f t="shared" si="3"/>
        <v>1.0063703854548032</v>
      </c>
      <c r="H69" s="97">
        <v>1.0057927338780821</v>
      </c>
    </row>
    <row r="70" spans="1:8" x14ac:dyDescent="0.35">
      <c r="A70" s="67" t="s">
        <v>182</v>
      </c>
      <c r="B70" s="61" t="str">
        <f t="shared" si="5"/>
        <v>2011</v>
      </c>
      <c r="C70" s="85">
        <v>19505</v>
      </c>
      <c r="D70" s="63">
        <v>2011</v>
      </c>
      <c r="E70" s="61">
        <v>69</v>
      </c>
      <c r="F70" s="91">
        <f t="shared" si="2"/>
        <v>18924.916666666668</v>
      </c>
      <c r="G70" s="49">
        <f t="shared" si="3"/>
        <v>1.0306518302590499</v>
      </c>
      <c r="H70" s="97">
        <v>1.0311404366997561</v>
      </c>
    </row>
    <row r="71" spans="1:8" x14ac:dyDescent="0.35">
      <c r="A71" s="65" t="s">
        <v>64</v>
      </c>
      <c r="B71" s="61" t="str">
        <f t="shared" si="5"/>
        <v>2011</v>
      </c>
      <c r="C71" s="85">
        <v>19081</v>
      </c>
      <c r="D71" s="63">
        <v>2011</v>
      </c>
      <c r="E71" s="61">
        <v>70</v>
      </c>
      <c r="F71" s="91">
        <f t="shared" si="2"/>
        <v>18984</v>
      </c>
      <c r="G71" s="49">
        <f t="shared" si="3"/>
        <v>1.005109565950274</v>
      </c>
      <c r="H71" s="97">
        <v>0.99647151229008235</v>
      </c>
    </row>
    <row r="72" spans="1:8" x14ac:dyDescent="0.35">
      <c r="A72" s="65" t="s">
        <v>65</v>
      </c>
      <c r="B72" s="61" t="str">
        <f t="shared" si="5"/>
        <v>2011</v>
      </c>
      <c r="C72" s="85">
        <v>18541</v>
      </c>
      <c r="D72" s="63">
        <v>2011</v>
      </c>
      <c r="E72" s="61">
        <v>71</v>
      </c>
      <c r="F72" s="91">
        <f t="shared" si="2"/>
        <v>19014.916666666668</v>
      </c>
      <c r="G72" s="49">
        <f t="shared" si="3"/>
        <v>0.97507658461120428</v>
      </c>
      <c r="H72" s="97">
        <v>0.99924985141460465</v>
      </c>
    </row>
    <row r="73" spans="1:8" x14ac:dyDescent="0.35">
      <c r="A73" s="65" t="s">
        <v>66</v>
      </c>
      <c r="B73" s="61" t="str">
        <f t="shared" si="5"/>
        <v>2011</v>
      </c>
      <c r="C73" s="85">
        <v>19481</v>
      </c>
      <c r="D73" s="63">
        <v>2011</v>
      </c>
      <c r="E73" s="61">
        <v>72</v>
      </c>
      <c r="F73" s="91">
        <f t="shared" si="2"/>
        <v>19111</v>
      </c>
      <c r="G73" s="49">
        <f t="shared" si="3"/>
        <v>1.0193605776777772</v>
      </c>
      <c r="H73" s="97">
        <v>1.0121735261994504</v>
      </c>
    </row>
    <row r="74" spans="1:8" x14ac:dyDescent="0.35">
      <c r="A74" s="65" t="s">
        <v>67</v>
      </c>
      <c r="B74" s="61" t="str">
        <f t="shared" si="5"/>
        <v>2011</v>
      </c>
      <c r="C74" s="85">
        <v>18845</v>
      </c>
      <c r="D74" s="63">
        <v>2011</v>
      </c>
      <c r="E74" s="61">
        <v>73</v>
      </c>
      <c r="F74" s="91">
        <f t="shared" si="2"/>
        <v>19171.083333333332</v>
      </c>
      <c r="G74" s="49">
        <f t="shared" si="3"/>
        <v>0.98299087601552693</v>
      </c>
      <c r="H74" s="97">
        <v>0.98079097156469441</v>
      </c>
    </row>
    <row r="75" spans="1:8" x14ac:dyDescent="0.35">
      <c r="A75" s="65" t="s">
        <v>68</v>
      </c>
      <c r="B75" s="61" t="str">
        <f t="shared" si="5"/>
        <v>2011</v>
      </c>
      <c r="C75" s="85">
        <v>19302</v>
      </c>
      <c r="D75" s="63">
        <v>2011</v>
      </c>
      <c r="E75" s="61">
        <v>74</v>
      </c>
      <c r="F75" s="91">
        <f t="shared" si="2"/>
        <v>19228.666666666668</v>
      </c>
      <c r="G75" s="49">
        <f t="shared" si="3"/>
        <v>1.0038137503033664</v>
      </c>
      <c r="H75" s="97">
        <v>1.0323394347969677</v>
      </c>
    </row>
    <row r="76" spans="1:8" x14ac:dyDescent="0.35">
      <c r="A76" s="65" t="s">
        <v>69</v>
      </c>
      <c r="B76" s="61" t="str">
        <f t="shared" si="5"/>
        <v>2011</v>
      </c>
      <c r="C76" s="85">
        <v>19103</v>
      </c>
      <c r="D76" s="63">
        <v>2011</v>
      </c>
      <c r="E76" s="61">
        <v>75</v>
      </c>
      <c r="F76" s="91">
        <f t="shared" si="2"/>
        <v>19260.25</v>
      </c>
      <c r="G76" s="49">
        <f t="shared" si="3"/>
        <v>0.99183551615373633</v>
      </c>
      <c r="H76" s="97">
        <v>0.9922802514367296</v>
      </c>
    </row>
    <row r="77" spans="1:8" x14ac:dyDescent="0.35">
      <c r="A77" s="65" t="s">
        <v>70</v>
      </c>
      <c r="B77" s="61" t="str">
        <f t="shared" si="5"/>
        <v>2011</v>
      </c>
      <c r="C77" s="85">
        <v>21133</v>
      </c>
      <c r="D77" s="63">
        <v>2011</v>
      </c>
      <c r="E77" s="61">
        <v>76</v>
      </c>
      <c r="F77" s="91">
        <f t="shared" si="2"/>
        <v>19270.75</v>
      </c>
      <c r="G77" s="49">
        <f t="shared" si="3"/>
        <v>1.0966360935614856</v>
      </c>
      <c r="H77" s="97">
        <v>1.1073678838309451</v>
      </c>
    </row>
    <row r="78" spans="1:8" x14ac:dyDescent="0.35">
      <c r="A78" s="65" t="s">
        <v>71</v>
      </c>
      <c r="B78" s="61" t="str">
        <f t="shared" si="5"/>
        <v>2012</v>
      </c>
      <c r="C78" s="85">
        <v>19401</v>
      </c>
      <c r="D78" s="63">
        <v>2012</v>
      </c>
      <c r="E78" s="61">
        <v>77</v>
      </c>
      <c r="F78" s="91">
        <f t="shared" ref="F78:F141" si="6">AVERAGE(C67:C78)</f>
        <v>19291.25</v>
      </c>
      <c r="G78" s="49">
        <f t="shared" ref="G78:G141" si="7">C78/F78</f>
        <v>1.005689107756107</v>
      </c>
      <c r="H78" s="97">
        <v>1.0234185080278571</v>
      </c>
    </row>
    <row r="79" spans="1:8" x14ac:dyDescent="0.35">
      <c r="A79" s="65" t="s">
        <v>72</v>
      </c>
      <c r="B79" s="61" t="str">
        <f t="shared" si="5"/>
        <v>2012</v>
      </c>
      <c r="C79" s="85">
        <v>19056</v>
      </c>
      <c r="D79" s="63">
        <v>2012</v>
      </c>
      <c r="E79" s="61">
        <v>78</v>
      </c>
      <c r="F79" s="91">
        <f t="shared" si="6"/>
        <v>19369.5</v>
      </c>
      <c r="G79" s="49">
        <f t="shared" si="7"/>
        <v>0.98381476031905835</v>
      </c>
      <c r="H79" s="97">
        <v>0.96778361364008814</v>
      </c>
    </row>
    <row r="80" spans="1:8" x14ac:dyDescent="0.35">
      <c r="A80" s="65" t="s">
        <v>73</v>
      </c>
      <c r="B80" s="61" t="str">
        <f t="shared" si="5"/>
        <v>2012</v>
      </c>
      <c r="C80" s="85">
        <v>19943</v>
      </c>
      <c r="D80" s="63">
        <v>2012</v>
      </c>
      <c r="E80" s="61">
        <v>79</v>
      </c>
      <c r="F80" s="91">
        <f t="shared" si="6"/>
        <v>19361.25</v>
      </c>
      <c r="G80" s="49">
        <f t="shared" si="7"/>
        <v>1.0300471302214476</v>
      </c>
      <c r="H80" s="97">
        <v>1.0471910079749045</v>
      </c>
    </row>
    <row r="81" spans="1:8" x14ac:dyDescent="0.35">
      <c r="A81" s="65" t="s">
        <v>74</v>
      </c>
      <c r="B81" s="61" t="str">
        <f t="shared" si="5"/>
        <v>2012</v>
      </c>
      <c r="C81" s="85">
        <v>19050</v>
      </c>
      <c r="D81" s="63">
        <v>2012</v>
      </c>
      <c r="E81" s="61">
        <v>80</v>
      </c>
      <c r="F81" s="91">
        <f t="shared" si="6"/>
        <v>19370.083333333332</v>
      </c>
      <c r="G81" s="49">
        <f t="shared" si="7"/>
        <v>0.98347537654716688</v>
      </c>
      <c r="H81" s="97">
        <v>1.0057927338780821</v>
      </c>
    </row>
    <row r="82" spans="1:8" x14ac:dyDescent="0.35">
      <c r="A82" s="67" t="s">
        <v>183</v>
      </c>
      <c r="B82" s="61" t="str">
        <f t="shared" si="5"/>
        <v>2012</v>
      </c>
      <c r="C82" s="85">
        <v>19701</v>
      </c>
      <c r="D82" s="63">
        <v>2012</v>
      </c>
      <c r="E82" s="61">
        <v>81</v>
      </c>
      <c r="F82" s="91">
        <f t="shared" si="6"/>
        <v>19386.416666666668</v>
      </c>
      <c r="G82" s="49">
        <f t="shared" si="7"/>
        <v>1.016226997425173</v>
      </c>
      <c r="H82" s="97">
        <v>1.0311404366997561</v>
      </c>
    </row>
    <row r="83" spans="1:8" x14ac:dyDescent="0.35">
      <c r="A83" s="65" t="s">
        <v>75</v>
      </c>
      <c r="B83" s="61" t="str">
        <f t="shared" si="5"/>
        <v>2012</v>
      </c>
      <c r="C83" s="85">
        <v>18426</v>
      </c>
      <c r="D83" s="63">
        <v>2012</v>
      </c>
      <c r="E83" s="61">
        <v>82</v>
      </c>
      <c r="F83" s="91">
        <f t="shared" si="6"/>
        <v>19331.833333333332</v>
      </c>
      <c r="G83" s="49">
        <f t="shared" si="7"/>
        <v>0.95314291626074443</v>
      </c>
      <c r="H83" s="97">
        <v>0.99647151229008235</v>
      </c>
    </row>
    <row r="84" spans="1:8" x14ac:dyDescent="0.35">
      <c r="A84" s="65" t="s">
        <v>76</v>
      </c>
      <c r="B84" s="61" t="str">
        <f t="shared" si="5"/>
        <v>2012</v>
      </c>
      <c r="C84" s="85">
        <v>18559</v>
      </c>
      <c r="D84" s="63">
        <v>2012</v>
      </c>
      <c r="E84" s="61">
        <v>83</v>
      </c>
      <c r="F84" s="91">
        <f t="shared" si="6"/>
        <v>19333.333333333332</v>
      </c>
      <c r="G84" s="49">
        <f t="shared" si="7"/>
        <v>0.95994827586206899</v>
      </c>
      <c r="H84" s="97">
        <v>0.99924985141460465</v>
      </c>
    </row>
    <row r="85" spans="1:8" x14ac:dyDescent="0.35">
      <c r="A85" s="65" t="s">
        <v>77</v>
      </c>
      <c r="B85" s="61" t="str">
        <f t="shared" si="5"/>
        <v>2012</v>
      </c>
      <c r="C85" s="85">
        <v>19168</v>
      </c>
      <c r="D85" s="63">
        <v>2012</v>
      </c>
      <c r="E85" s="61">
        <v>84</v>
      </c>
      <c r="F85" s="91">
        <f t="shared" si="6"/>
        <v>19307.25</v>
      </c>
      <c r="G85" s="49">
        <f t="shared" si="7"/>
        <v>0.99278768338318513</v>
      </c>
      <c r="H85" s="97">
        <v>1.0121735261994504</v>
      </c>
    </row>
    <row r="86" spans="1:8" x14ac:dyDescent="0.35">
      <c r="A86" s="65" t="s">
        <v>78</v>
      </c>
      <c r="B86" s="61" t="str">
        <f t="shared" si="5"/>
        <v>2012</v>
      </c>
      <c r="C86" s="85">
        <v>17847</v>
      </c>
      <c r="D86" s="63">
        <v>2012</v>
      </c>
      <c r="E86" s="61">
        <v>85</v>
      </c>
      <c r="F86" s="91">
        <f t="shared" si="6"/>
        <v>19224.083333333332</v>
      </c>
      <c r="G86" s="49">
        <f t="shared" si="7"/>
        <v>0.92836676217765046</v>
      </c>
      <c r="H86" s="97">
        <v>0.98079097156469441</v>
      </c>
    </row>
    <row r="87" spans="1:8" x14ac:dyDescent="0.35">
      <c r="A87" s="65" t="s">
        <v>79</v>
      </c>
      <c r="B87" s="61" t="str">
        <f t="shared" si="5"/>
        <v>2012</v>
      </c>
      <c r="C87" s="85">
        <v>19468</v>
      </c>
      <c r="D87" s="63">
        <v>2012</v>
      </c>
      <c r="E87" s="61">
        <v>86</v>
      </c>
      <c r="F87" s="91">
        <f t="shared" si="6"/>
        <v>19237.916666666668</v>
      </c>
      <c r="G87" s="49">
        <f t="shared" si="7"/>
        <v>1.0119598882415368</v>
      </c>
      <c r="H87" s="97">
        <v>1.0323394347969677</v>
      </c>
    </row>
    <row r="88" spans="1:8" x14ac:dyDescent="0.35">
      <c r="A88" s="65" t="s">
        <v>80</v>
      </c>
      <c r="B88" s="61" t="str">
        <f t="shared" si="5"/>
        <v>2012</v>
      </c>
      <c r="C88" s="85">
        <v>18700</v>
      </c>
      <c r="D88" s="63">
        <v>2012</v>
      </c>
      <c r="E88" s="61">
        <v>87</v>
      </c>
      <c r="F88" s="91">
        <f t="shared" si="6"/>
        <v>19204.333333333332</v>
      </c>
      <c r="G88" s="49">
        <f t="shared" si="7"/>
        <v>0.97373856594865749</v>
      </c>
      <c r="H88" s="97">
        <v>0.9922802514367296</v>
      </c>
    </row>
    <row r="89" spans="1:8" x14ac:dyDescent="0.35">
      <c r="A89" s="65" t="s">
        <v>81</v>
      </c>
      <c r="B89" s="61" t="str">
        <f t="shared" si="5"/>
        <v>2012</v>
      </c>
      <c r="C89" s="85">
        <v>20632</v>
      </c>
      <c r="D89" s="63">
        <v>2012</v>
      </c>
      <c r="E89" s="61">
        <v>88</v>
      </c>
      <c r="F89" s="91">
        <f t="shared" si="6"/>
        <v>19162.583333333332</v>
      </c>
      <c r="G89" s="49">
        <f t="shared" si="7"/>
        <v>1.0766815538962649</v>
      </c>
      <c r="H89" s="97">
        <v>1.1073678838309451</v>
      </c>
    </row>
    <row r="90" spans="1:8" x14ac:dyDescent="0.35">
      <c r="A90" s="68" t="s">
        <v>82</v>
      </c>
      <c r="B90" s="61" t="str">
        <f t="shared" si="5"/>
        <v>2013</v>
      </c>
      <c r="C90" s="86">
        <v>19826</v>
      </c>
      <c r="D90" s="63">
        <v>2013</v>
      </c>
      <c r="E90" s="61">
        <v>89</v>
      </c>
      <c r="F90" s="91">
        <f t="shared" si="6"/>
        <v>19198</v>
      </c>
      <c r="G90" s="49">
        <f t="shared" si="7"/>
        <v>1.032711740806334</v>
      </c>
      <c r="H90" s="97">
        <v>1.0234185080278571</v>
      </c>
    </row>
    <row r="91" spans="1:8" x14ac:dyDescent="0.35">
      <c r="A91" s="68" t="s">
        <v>83</v>
      </c>
      <c r="B91" s="61" t="str">
        <f t="shared" si="5"/>
        <v>2013</v>
      </c>
      <c r="C91" s="86">
        <v>18221</v>
      </c>
      <c r="D91" s="63">
        <v>2013</v>
      </c>
      <c r="E91" s="61">
        <v>90</v>
      </c>
      <c r="F91" s="91">
        <f t="shared" si="6"/>
        <v>19128.416666666668</v>
      </c>
      <c r="G91" s="49">
        <f t="shared" si="7"/>
        <v>0.9525618516953398</v>
      </c>
      <c r="H91" s="97">
        <v>0.96778361364008814</v>
      </c>
    </row>
    <row r="92" spans="1:8" x14ac:dyDescent="0.35">
      <c r="A92" s="68" t="s">
        <v>84</v>
      </c>
      <c r="B92" s="61" t="str">
        <f t="shared" si="5"/>
        <v>2013</v>
      </c>
      <c r="C92" s="86">
        <v>19625</v>
      </c>
      <c r="D92" s="63">
        <v>2013</v>
      </c>
      <c r="E92" s="61">
        <v>91</v>
      </c>
      <c r="F92" s="91">
        <f t="shared" si="6"/>
        <v>19101.916666666668</v>
      </c>
      <c r="G92" s="49">
        <f t="shared" si="7"/>
        <v>1.027383814015173</v>
      </c>
      <c r="H92" s="97">
        <v>1.0471910079749045</v>
      </c>
    </row>
    <row r="93" spans="1:8" x14ac:dyDescent="0.35">
      <c r="A93" s="68" t="s">
        <v>85</v>
      </c>
      <c r="B93" s="61" t="str">
        <f t="shared" si="5"/>
        <v>2013</v>
      </c>
      <c r="C93" s="86">
        <v>19168</v>
      </c>
      <c r="D93" s="63">
        <v>2013</v>
      </c>
      <c r="E93" s="61">
        <v>92</v>
      </c>
      <c r="F93" s="91">
        <f t="shared" si="6"/>
        <v>19111.75</v>
      </c>
      <c r="G93" s="49">
        <f t="shared" si="7"/>
        <v>1.0029432155611078</v>
      </c>
      <c r="H93" s="97">
        <v>1.0057927338780821</v>
      </c>
    </row>
    <row r="94" spans="1:8" x14ac:dyDescent="0.35">
      <c r="A94" s="70" t="s">
        <v>86</v>
      </c>
      <c r="B94" s="61" t="str">
        <f t="shared" si="5"/>
        <v>2013</v>
      </c>
      <c r="C94" s="86">
        <v>19806</v>
      </c>
      <c r="D94" s="63">
        <v>2013</v>
      </c>
      <c r="E94" s="61">
        <v>93</v>
      </c>
      <c r="F94" s="91">
        <f t="shared" si="6"/>
        <v>19120.5</v>
      </c>
      <c r="G94" s="49">
        <f t="shared" si="7"/>
        <v>1.0358515729191182</v>
      </c>
      <c r="H94" s="97">
        <v>1.0311404366997561</v>
      </c>
    </row>
    <row r="95" spans="1:8" x14ac:dyDescent="0.35">
      <c r="A95" s="68" t="s">
        <v>87</v>
      </c>
      <c r="B95" s="61" t="str">
        <f t="shared" si="5"/>
        <v>2013</v>
      </c>
      <c r="C95" s="86">
        <v>18547</v>
      </c>
      <c r="D95" s="63">
        <v>2013</v>
      </c>
      <c r="E95" s="61">
        <v>94</v>
      </c>
      <c r="F95" s="91">
        <f t="shared" si="6"/>
        <v>19130.583333333332</v>
      </c>
      <c r="G95" s="49">
        <f t="shared" si="7"/>
        <v>0.96949474445368899</v>
      </c>
      <c r="H95" s="97">
        <v>0.99647151229008235</v>
      </c>
    </row>
    <row r="96" spans="1:8" x14ac:dyDescent="0.35">
      <c r="A96" s="68" t="s">
        <v>88</v>
      </c>
      <c r="B96" s="61" t="str">
        <f t="shared" si="5"/>
        <v>2013</v>
      </c>
      <c r="C96" s="86">
        <v>19470</v>
      </c>
      <c r="D96" s="63">
        <v>2013</v>
      </c>
      <c r="E96" s="61">
        <v>95</v>
      </c>
      <c r="F96" s="91">
        <f t="shared" si="6"/>
        <v>19206.5</v>
      </c>
      <c r="G96" s="49">
        <f t="shared" si="7"/>
        <v>1.0137193137739828</v>
      </c>
      <c r="H96" s="97">
        <v>0.99924985141460465</v>
      </c>
    </row>
    <row r="97" spans="1:8" x14ac:dyDescent="0.35">
      <c r="A97" s="68" t="s">
        <v>89</v>
      </c>
      <c r="B97" s="61" t="str">
        <f t="shared" si="5"/>
        <v>2013</v>
      </c>
      <c r="C97" s="86">
        <v>19562</v>
      </c>
      <c r="D97" s="63">
        <v>2013</v>
      </c>
      <c r="E97" s="61">
        <v>96</v>
      </c>
      <c r="F97" s="91">
        <f t="shared" si="6"/>
        <v>19239.333333333332</v>
      </c>
      <c r="G97" s="49">
        <f t="shared" si="7"/>
        <v>1.016771197893205</v>
      </c>
      <c r="H97" s="97">
        <v>1.0121735261994504</v>
      </c>
    </row>
    <row r="98" spans="1:8" x14ac:dyDescent="0.35">
      <c r="A98" s="68" t="s">
        <v>90</v>
      </c>
      <c r="B98" s="61" t="str">
        <f t="shared" ref="B98:B129" si="8">MID(A98,6,4)</f>
        <v>2013</v>
      </c>
      <c r="C98" s="86">
        <v>19217</v>
      </c>
      <c r="D98" s="63">
        <v>2013</v>
      </c>
      <c r="E98" s="61">
        <v>97</v>
      </c>
      <c r="F98" s="91">
        <f t="shared" si="6"/>
        <v>19353.5</v>
      </c>
      <c r="G98" s="49">
        <f t="shared" si="7"/>
        <v>0.99294701216834169</v>
      </c>
      <c r="H98" s="97">
        <v>0.98079097156469441</v>
      </c>
    </row>
    <row r="99" spans="1:8" x14ac:dyDescent="0.35">
      <c r="A99" s="68" t="s">
        <v>91</v>
      </c>
      <c r="B99" s="61" t="str">
        <f t="shared" si="8"/>
        <v>2013</v>
      </c>
      <c r="C99" s="86">
        <v>20478</v>
      </c>
      <c r="D99" s="63">
        <v>2013</v>
      </c>
      <c r="E99" s="61">
        <v>98</v>
      </c>
      <c r="F99" s="91">
        <f t="shared" si="6"/>
        <v>19437.666666666668</v>
      </c>
      <c r="G99" s="49">
        <f t="shared" si="7"/>
        <v>1.053521513213177</v>
      </c>
      <c r="H99" s="97">
        <v>1.0323394347969677</v>
      </c>
    </row>
    <row r="100" spans="1:8" x14ac:dyDescent="0.35">
      <c r="A100" s="68" t="s">
        <v>92</v>
      </c>
      <c r="B100" s="61" t="str">
        <f t="shared" si="8"/>
        <v>2013</v>
      </c>
      <c r="C100" s="86">
        <v>19554</v>
      </c>
      <c r="D100" s="63">
        <v>2013</v>
      </c>
      <c r="E100" s="61">
        <v>99</v>
      </c>
      <c r="F100" s="91">
        <f t="shared" si="6"/>
        <v>19508.833333333332</v>
      </c>
      <c r="G100" s="49">
        <f t="shared" si="7"/>
        <v>1.0023151905547061</v>
      </c>
      <c r="H100" s="97">
        <v>0.9922802514367296</v>
      </c>
    </row>
    <row r="101" spans="1:8" x14ac:dyDescent="0.35">
      <c r="A101" s="68" t="s">
        <v>93</v>
      </c>
      <c r="B101" s="61" t="str">
        <f t="shared" si="8"/>
        <v>2013</v>
      </c>
      <c r="C101" s="86">
        <v>22074</v>
      </c>
      <c r="D101" s="63">
        <v>2013</v>
      </c>
      <c r="E101" s="61">
        <v>100</v>
      </c>
      <c r="F101" s="91">
        <f t="shared" si="6"/>
        <v>19629</v>
      </c>
      <c r="G101" s="49">
        <f t="shared" si="7"/>
        <v>1.1245605991135565</v>
      </c>
      <c r="H101" s="97">
        <v>1.1073678838309451</v>
      </c>
    </row>
    <row r="102" spans="1:8" x14ac:dyDescent="0.35">
      <c r="A102" s="68" t="s">
        <v>94</v>
      </c>
      <c r="B102" s="61" t="str">
        <f t="shared" si="8"/>
        <v>2014</v>
      </c>
      <c r="C102" s="86">
        <v>20634</v>
      </c>
      <c r="D102" s="63">
        <v>2014</v>
      </c>
      <c r="E102" s="61">
        <v>101</v>
      </c>
      <c r="F102" s="91">
        <f t="shared" si="6"/>
        <v>19696.333333333332</v>
      </c>
      <c r="G102" s="49">
        <f t="shared" si="7"/>
        <v>1.0476061534295724</v>
      </c>
      <c r="H102" s="97">
        <v>1.0234185080278571</v>
      </c>
    </row>
    <row r="103" spans="1:8" x14ac:dyDescent="0.35">
      <c r="A103" s="68" t="s">
        <v>95</v>
      </c>
      <c r="B103" s="61" t="str">
        <f t="shared" si="8"/>
        <v>2014</v>
      </c>
      <c r="C103" s="86">
        <v>19140</v>
      </c>
      <c r="D103" s="63">
        <v>2014</v>
      </c>
      <c r="E103" s="61">
        <v>102</v>
      </c>
      <c r="F103" s="91">
        <f t="shared" si="6"/>
        <v>19772.916666666668</v>
      </c>
      <c r="G103" s="49">
        <f t="shared" si="7"/>
        <v>0.96799072805816033</v>
      </c>
      <c r="H103" s="97">
        <v>0.96778361364008814</v>
      </c>
    </row>
    <row r="104" spans="1:8" x14ac:dyDescent="0.35">
      <c r="A104" s="68" t="s">
        <v>96</v>
      </c>
      <c r="B104" s="61" t="str">
        <f t="shared" si="8"/>
        <v>2014</v>
      </c>
      <c r="C104" s="86">
        <v>20488</v>
      </c>
      <c r="D104" s="63">
        <v>2014</v>
      </c>
      <c r="E104" s="61">
        <v>103</v>
      </c>
      <c r="F104" s="91">
        <f t="shared" si="6"/>
        <v>19844.833333333332</v>
      </c>
      <c r="G104" s="49">
        <f t="shared" si="7"/>
        <v>1.0324097792036551</v>
      </c>
      <c r="H104" s="97">
        <v>1.0471910079749045</v>
      </c>
    </row>
    <row r="105" spans="1:8" x14ac:dyDescent="0.35">
      <c r="A105" s="68" t="s">
        <v>97</v>
      </c>
      <c r="B105" s="61" t="str">
        <f t="shared" si="8"/>
        <v>2014</v>
      </c>
      <c r="C105" s="86">
        <v>20621</v>
      </c>
      <c r="D105" s="63">
        <v>2014</v>
      </c>
      <c r="E105" s="61">
        <v>104</v>
      </c>
      <c r="F105" s="91">
        <f t="shared" si="6"/>
        <v>19965.916666666668</v>
      </c>
      <c r="G105" s="49">
        <f t="shared" si="7"/>
        <v>1.0328100805122062</v>
      </c>
      <c r="H105" s="97">
        <v>1.0057927338780821</v>
      </c>
    </row>
    <row r="106" spans="1:8" x14ac:dyDescent="0.35">
      <c r="A106" s="70" t="s">
        <v>98</v>
      </c>
      <c r="B106" s="61" t="str">
        <f t="shared" si="8"/>
        <v>2014</v>
      </c>
      <c r="C106" s="86">
        <v>21069</v>
      </c>
      <c r="D106" s="63">
        <v>2014</v>
      </c>
      <c r="E106" s="61">
        <v>105</v>
      </c>
      <c r="F106" s="91">
        <f t="shared" si="6"/>
        <v>20071.166666666668</v>
      </c>
      <c r="G106" s="49">
        <f t="shared" si="7"/>
        <v>1.0497147649613459</v>
      </c>
      <c r="H106" s="97">
        <v>1.0311404366997561</v>
      </c>
    </row>
    <row r="107" spans="1:8" x14ac:dyDescent="0.35">
      <c r="A107" s="68" t="s">
        <v>99</v>
      </c>
      <c r="B107" s="61" t="str">
        <f t="shared" si="8"/>
        <v>2014</v>
      </c>
      <c r="C107" s="86">
        <v>20421</v>
      </c>
      <c r="D107" s="63">
        <v>2014</v>
      </c>
      <c r="E107" s="61">
        <v>106</v>
      </c>
      <c r="F107" s="91">
        <f t="shared" si="6"/>
        <v>20227.333333333332</v>
      </c>
      <c r="G107" s="49">
        <f t="shared" si="7"/>
        <v>1.0095745031475563</v>
      </c>
      <c r="H107" s="97">
        <v>0.99647151229008235</v>
      </c>
    </row>
    <row r="108" spans="1:8" x14ac:dyDescent="0.35">
      <c r="A108" s="68" t="s">
        <v>100</v>
      </c>
      <c r="B108" s="61" t="str">
        <f t="shared" si="8"/>
        <v>2014</v>
      </c>
      <c r="C108" s="86">
        <v>20910</v>
      </c>
      <c r="D108" s="63">
        <v>2014</v>
      </c>
      <c r="E108" s="61">
        <v>107</v>
      </c>
      <c r="F108" s="91">
        <f t="shared" si="6"/>
        <v>20347.333333333332</v>
      </c>
      <c r="G108" s="49">
        <f t="shared" si="7"/>
        <v>1.0276530913141773</v>
      </c>
      <c r="H108" s="97">
        <v>0.99924985141460465</v>
      </c>
    </row>
    <row r="109" spans="1:8" x14ac:dyDescent="0.35">
      <c r="A109" s="68" t="s">
        <v>101</v>
      </c>
      <c r="B109" s="61" t="str">
        <f t="shared" si="8"/>
        <v>2014</v>
      </c>
      <c r="C109" s="86">
        <v>20631</v>
      </c>
      <c r="D109" s="63">
        <v>2014</v>
      </c>
      <c r="E109" s="61">
        <v>108</v>
      </c>
      <c r="F109" s="91">
        <f t="shared" si="6"/>
        <v>20436.416666666668</v>
      </c>
      <c r="G109" s="49">
        <f t="shared" si="7"/>
        <v>1.0095214017460661</v>
      </c>
      <c r="H109" s="97">
        <v>1.0121735261994504</v>
      </c>
    </row>
    <row r="110" spans="1:8" x14ac:dyDescent="0.35">
      <c r="A110" s="68" t="s">
        <v>102</v>
      </c>
      <c r="B110" s="61" t="str">
        <f t="shared" si="8"/>
        <v>2014</v>
      </c>
      <c r="C110" s="86">
        <v>20699</v>
      </c>
      <c r="D110" s="63">
        <v>2014</v>
      </c>
      <c r="E110" s="61">
        <v>109</v>
      </c>
      <c r="F110" s="91">
        <f t="shared" si="6"/>
        <v>20559.916666666668</v>
      </c>
      <c r="G110" s="49">
        <f t="shared" si="7"/>
        <v>1.0067647809856557</v>
      </c>
      <c r="H110" s="97">
        <v>0.98079097156469441</v>
      </c>
    </row>
    <row r="111" spans="1:8" x14ac:dyDescent="0.35">
      <c r="A111" s="68" t="s">
        <v>103</v>
      </c>
      <c r="B111" s="61" t="str">
        <f t="shared" si="8"/>
        <v>2014</v>
      </c>
      <c r="C111" s="86">
        <v>21676</v>
      </c>
      <c r="D111" s="63">
        <v>2014</v>
      </c>
      <c r="E111" s="61">
        <v>110</v>
      </c>
      <c r="F111" s="91">
        <f t="shared" si="6"/>
        <v>20659.75</v>
      </c>
      <c r="G111" s="49">
        <f t="shared" si="7"/>
        <v>1.0491898498287733</v>
      </c>
      <c r="H111" s="97">
        <v>1.0323394347969677</v>
      </c>
    </row>
    <row r="112" spans="1:8" x14ac:dyDescent="0.35">
      <c r="A112" s="68" t="s">
        <v>104</v>
      </c>
      <c r="B112" s="61" t="str">
        <f t="shared" si="8"/>
        <v>2014</v>
      </c>
      <c r="C112" s="86">
        <v>20211</v>
      </c>
      <c r="D112" s="63">
        <v>2014</v>
      </c>
      <c r="E112" s="61">
        <v>111</v>
      </c>
      <c r="F112" s="91">
        <f t="shared" si="6"/>
        <v>20714.5</v>
      </c>
      <c r="G112" s="49">
        <f t="shared" si="7"/>
        <v>0.97569335489632869</v>
      </c>
      <c r="H112" s="97">
        <v>0.9922802514367296</v>
      </c>
    </row>
    <row r="113" spans="1:8" x14ac:dyDescent="0.35">
      <c r="A113" s="68" t="s">
        <v>105</v>
      </c>
      <c r="B113" s="61" t="str">
        <f t="shared" si="8"/>
        <v>2014</v>
      </c>
      <c r="C113" s="86">
        <v>24046</v>
      </c>
      <c r="D113" s="63">
        <v>2014</v>
      </c>
      <c r="E113" s="61">
        <v>112</v>
      </c>
      <c r="F113" s="91">
        <f t="shared" si="6"/>
        <v>20878.833333333332</v>
      </c>
      <c r="G113" s="49">
        <f t="shared" si="7"/>
        <v>1.1516927031363502</v>
      </c>
      <c r="H113" s="97">
        <v>1.1073678838309451</v>
      </c>
    </row>
    <row r="114" spans="1:8" x14ac:dyDescent="0.35">
      <c r="A114" s="68" t="s">
        <v>106</v>
      </c>
      <c r="B114" s="61" t="str">
        <f t="shared" si="8"/>
        <v>2015</v>
      </c>
      <c r="C114" s="86">
        <v>21713</v>
      </c>
      <c r="D114" s="63">
        <v>2015</v>
      </c>
      <c r="E114" s="61">
        <v>113</v>
      </c>
      <c r="F114" s="91">
        <f t="shared" si="6"/>
        <v>20968.75</v>
      </c>
      <c r="G114" s="49">
        <f t="shared" si="7"/>
        <v>1.0354932935916543</v>
      </c>
      <c r="H114" s="97">
        <v>1.0234185080278571</v>
      </c>
    </row>
    <row r="115" spans="1:8" x14ac:dyDescent="0.35">
      <c r="A115" s="68" t="s">
        <v>107</v>
      </c>
      <c r="B115" s="61" t="str">
        <f t="shared" si="8"/>
        <v>2015</v>
      </c>
      <c r="C115" s="86">
        <v>20085</v>
      </c>
      <c r="D115" s="63">
        <v>2015</v>
      </c>
      <c r="E115" s="61">
        <v>114</v>
      </c>
      <c r="F115" s="91">
        <f t="shared" si="6"/>
        <v>21047.5</v>
      </c>
      <c r="G115" s="49">
        <f t="shared" si="7"/>
        <v>0.95427010333768858</v>
      </c>
      <c r="H115" s="97">
        <v>0.96778361364008814</v>
      </c>
    </row>
    <row r="116" spans="1:8" x14ac:dyDescent="0.35">
      <c r="A116" s="68" t="s">
        <v>108</v>
      </c>
      <c r="B116" s="61" t="str">
        <f t="shared" si="8"/>
        <v>2015</v>
      </c>
      <c r="C116" s="86">
        <v>22366</v>
      </c>
      <c r="D116" s="63">
        <v>2015</v>
      </c>
      <c r="E116" s="61">
        <v>115</v>
      </c>
      <c r="F116" s="91">
        <f t="shared" si="6"/>
        <v>21204</v>
      </c>
      <c r="G116" s="49">
        <f t="shared" si="7"/>
        <v>1.0548009809469912</v>
      </c>
      <c r="H116" s="97">
        <v>1.0471910079749045</v>
      </c>
    </row>
    <row r="117" spans="1:8" x14ac:dyDescent="0.35">
      <c r="A117" s="68" t="s">
        <v>109</v>
      </c>
      <c r="B117" s="61" t="str">
        <f t="shared" si="8"/>
        <v>2015</v>
      </c>
      <c r="C117" s="86">
        <v>21551</v>
      </c>
      <c r="D117" s="63">
        <v>2015</v>
      </c>
      <c r="E117" s="61">
        <v>116</v>
      </c>
      <c r="F117" s="91">
        <f t="shared" si="6"/>
        <v>21281.5</v>
      </c>
      <c r="G117" s="49">
        <f t="shared" si="7"/>
        <v>1.0126635810445692</v>
      </c>
      <c r="H117" s="97">
        <v>1.0057927338780821</v>
      </c>
    </row>
    <row r="118" spans="1:8" x14ac:dyDescent="0.35">
      <c r="A118" s="70" t="s">
        <v>110</v>
      </c>
      <c r="B118" s="61" t="str">
        <f t="shared" si="8"/>
        <v>2015</v>
      </c>
      <c r="C118" s="86">
        <v>21461</v>
      </c>
      <c r="D118" s="63">
        <v>2015</v>
      </c>
      <c r="E118" s="61">
        <v>117</v>
      </c>
      <c r="F118" s="91">
        <f t="shared" si="6"/>
        <v>21314.166666666668</v>
      </c>
      <c r="G118" s="49">
        <f t="shared" si="7"/>
        <v>1.0068890018375884</v>
      </c>
      <c r="H118" s="97">
        <v>1.0311404366997561</v>
      </c>
    </row>
    <row r="119" spans="1:8" x14ac:dyDescent="0.35">
      <c r="A119" s="68" t="s">
        <v>111</v>
      </c>
      <c r="B119" s="61" t="str">
        <f t="shared" si="8"/>
        <v>2015</v>
      </c>
      <c r="C119" s="86">
        <v>21489</v>
      </c>
      <c r="D119" s="63">
        <v>2015</v>
      </c>
      <c r="E119" s="61">
        <v>118</v>
      </c>
      <c r="F119" s="91">
        <f t="shared" si="6"/>
        <v>21403.166666666668</v>
      </c>
      <c r="G119" s="49">
        <f t="shared" si="7"/>
        <v>1.0040103100008566</v>
      </c>
      <c r="H119" s="97">
        <v>0.99647151229008235</v>
      </c>
    </row>
    <row r="120" spans="1:8" x14ac:dyDescent="0.35">
      <c r="A120" s="68" t="s">
        <v>112</v>
      </c>
      <c r="B120" s="61" t="str">
        <f t="shared" si="8"/>
        <v>2015</v>
      </c>
      <c r="C120" s="86">
        <v>21774</v>
      </c>
      <c r="D120" s="63">
        <v>2015</v>
      </c>
      <c r="E120" s="61">
        <v>119</v>
      </c>
      <c r="F120" s="91">
        <f t="shared" si="6"/>
        <v>21475.166666666668</v>
      </c>
      <c r="G120" s="49">
        <f t="shared" si="7"/>
        <v>1.013915297514183</v>
      </c>
      <c r="H120" s="97">
        <v>0.99924985141460465</v>
      </c>
    </row>
    <row r="121" spans="1:8" x14ac:dyDescent="0.35">
      <c r="A121" s="68" t="s">
        <v>113</v>
      </c>
      <c r="B121" s="61" t="str">
        <f t="shared" si="8"/>
        <v>2015</v>
      </c>
      <c r="C121" s="86">
        <v>21533</v>
      </c>
      <c r="D121" s="63">
        <v>2015</v>
      </c>
      <c r="E121" s="61">
        <v>120</v>
      </c>
      <c r="F121" s="91">
        <f t="shared" si="6"/>
        <v>21550.333333333332</v>
      </c>
      <c r="G121" s="49">
        <f t="shared" si="7"/>
        <v>0.99919568142797488</v>
      </c>
      <c r="H121" s="97">
        <v>1.0121735261994504</v>
      </c>
    </row>
    <row r="122" spans="1:8" x14ac:dyDescent="0.35">
      <c r="A122" s="68" t="s">
        <v>114</v>
      </c>
      <c r="B122" s="61" t="str">
        <f t="shared" si="8"/>
        <v>2015</v>
      </c>
      <c r="C122" s="86">
        <v>22018</v>
      </c>
      <c r="D122" s="63">
        <v>2015</v>
      </c>
      <c r="E122" s="61">
        <v>121</v>
      </c>
      <c r="F122" s="91">
        <f t="shared" si="6"/>
        <v>21660.25</v>
      </c>
      <c r="G122" s="49">
        <f t="shared" si="7"/>
        <v>1.0165164298657678</v>
      </c>
      <c r="H122" s="97">
        <v>0.98079097156469441</v>
      </c>
    </row>
    <row r="123" spans="1:8" x14ac:dyDescent="0.35">
      <c r="A123" s="68" t="s">
        <v>115</v>
      </c>
      <c r="B123" s="61" t="str">
        <f t="shared" si="8"/>
        <v>2015</v>
      </c>
      <c r="C123" s="86">
        <v>22625</v>
      </c>
      <c r="D123" s="63">
        <v>2015</v>
      </c>
      <c r="E123" s="61">
        <v>122</v>
      </c>
      <c r="F123" s="91">
        <f t="shared" si="6"/>
        <v>21739.333333333332</v>
      </c>
      <c r="G123" s="49">
        <f t="shared" si="7"/>
        <v>1.0407402864239934</v>
      </c>
      <c r="H123" s="97">
        <v>1.0323394347969677</v>
      </c>
    </row>
    <row r="124" spans="1:8" x14ac:dyDescent="0.35">
      <c r="A124" s="68" t="s">
        <v>116</v>
      </c>
      <c r="B124" s="61" t="str">
        <f t="shared" si="8"/>
        <v>2015</v>
      </c>
      <c r="C124" s="86">
        <v>21642</v>
      </c>
      <c r="D124" s="63">
        <v>2015</v>
      </c>
      <c r="E124" s="61">
        <v>123</v>
      </c>
      <c r="F124" s="91">
        <f t="shared" si="6"/>
        <v>21858.583333333332</v>
      </c>
      <c r="G124" s="49">
        <f t="shared" si="7"/>
        <v>0.99009161160947456</v>
      </c>
      <c r="H124" s="97">
        <v>0.9922802514367296</v>
      </c>
    </row>
    <row r="125" spans="1:8" x14ac:dyDescent="0.35">
      <c r="A125" s="68" t="s">
        <v>117</v>
      </c>
      <c r="B125" s="61" t="str">
        <f t="shared" si="8"/>
        <v>2015</v>
      </c>
      <c r="C125" s="86">
        <v>25212</v>
      </c>
      <c r="D125" s="63">
        <v>2015</v>
      </c>
      <c r="E125" s="61">
        <v>124</v>
      </c>
      <c r="F125" s="91">
        <f t="shared" si="6"/>
        <v>21955.75</v>
      </c>
      <c r="G125" s="49">
        <f t="shared" si="7"/>
        <v>1.1483096683101237</v>
      </c>
      <c r="H125" s="97">
        <v>1.1073678838309451</v>
      </c>
    </row>
    <row r="126" spans="1:8" x14ac:dyDescent="0.35">
      <c r="A126" s="68" t="s">
        <v>118</v>
      </c>
      <c r="B126" s="61" t="str">
        <f t="shared" si="8"/>
        <v>2016</v>
      </c>
      <c r="C126" s="86">
        <v>22157</v>
      </c>
      <c r="D126" s="63">
        <v>2016</v>
      </c>
      <c r="E126" s="61">
        <v>125</v>
      </c>
      <c r="F126" s="91">
        <f t="shared" si="6"/>
        <v>21992.75</v>
      </c>
      <c r="G126" s="49">
        <f t="shared" si="7"/>
        <v>1.0074683702583807</v>
      </c>
      <c r="H126" s="97">
        <v>1.0234185080278571</v>
      </c>
    </row>
    <row r="127" spans="1:8" x14ac:dyDescent="0.35">
      <c r="A127" s="68" t="s">
        <v>119</v>
      </c>
      <c r="B127" s="61" t="str">
        <f t="shared" si="8"/>
        <v>2016</v>
      </c>
      <c r="C127" s="86">
        <v>22390</v>
      </c>
      <c r="D127" s="63">
        <v>2016</v>
      </c>
      <c r="E127" s="61">
        <v>126</v>
      </c>
      <c r="F127" s="91">
        <f t="shared" si="6"/>
        <v>22184.833333333332</v>
      </c>
      <c r="G127" s="49">
        <f t="shared" si="7"/>
        <v>1.0092480598607156</v>
      </c>
      <c r="H127" s="97">
        <v>0.96778361364008814</v>
      </c>
    </row>
    <row r="128" spans="1:8" x14ac:dyDescent="0.35">
      <c r="A128" s="68" t="s">
        <v>120</v>
      </c>
      <c r="B128" s="61" t="str">
        <f t="shared" si="8"/>
        <v>2016</v>
      </c>
      <c r="C128" s="86">
        <v>23550</v>
      </c>
      <c r="D128" s="63">
        <v>2016</v>
      </c>
      <c r="E128" s="61">
        <v>127</v>
      </c>
      <c r="F128" s="91">
        <f t="shared" si="6"/>
        <v>22283.5</v>
      </c>
      <c r="G128" s="49">
        <f t="shared" si="7"/>
        <v>1.0568357753494739</v>
      </c>
      <c r="H128" s="97">
        <v>1.0471910079749045</v>
      </c>
    </row>
    <row r="129" spans="1:8" x14ac:dyDescent="0.35">
      <c r="A129" s="68" t="s">
        <v>121</v>
      </c>
      <c r="B129" s="61" t="str">
        <f t="shared" si="8"/>
        <v>2016</v>
      </c>
      <c r="C129" s="86">
        <v>22650</v>
      </c>
      <c r="D129" s="63">
        <v>2016</v>
      </c>
      <c r="E129" s="61">
        <v>128</v>
      </c>
      <c r="F129" s="91">
        <f t="shared" si="6"/>
        <v>22375.083333333332</v>
      </c>
      <c r="G129" s="49">
        <f t="shared" si="7"/>
        <v>1.0122867326378673</v>
      </c>
      <c r="H129" s="97">
        <v>1.0057927338780821</v>
      </c>
    </row>
    <row r="130" spans="1:8" x14ac:dyDescent="0.35">
      <c r="A130" s="70" t="s">
        <v>122</v>
      </c>
      <c r="B130" s="61" t="str">
        <f t="shared" ref="B130:B161" si="9">MID(A130,6,4)</f>
        <v>2016</v>
      </c>
      <c r="C130" s="86">
        <v>23091</v>
      </c>
      <c r="D130" s="63">
        <v>2016</v>
      </c>
      <c r="E130" s="61">
        <v>129</v>
      </c>
      <c r="F130" s="91">
        <f t="shared" si="6"/>
        <v>22510.916666666668</v>
      </c>
      <c r="G130" s="49">
        <f t="shared" si="7"/>
        <v>1.0257689787547524</v>
      </c>
      <c r="H130" s="97">
        <v>1.0311404366997561</v>
      </c>
    </row>
    <row r="131" spans="1:8" x14ac:dyDescent="0.35">
      <c r="A131" s="68" t="s">
        <v>123</v>
      </c>
      <c r="B131" s="61" t="str">
        <f t="shared" si="9"/>
        <v>2016</v>
      </c>
      <c r="C131" s="86">
        <v>22696</v>
      </c>
      <c r="D131" s="63">
        <v>2016</v>
      </c>
      <c r="E131" s="61">
        <v>130</v>
      </c>
      <c r="F131" s="91">
        <f t="shared" si="6"/>
        <v>22611.5</v>
      </c>
      <c r="G131" s="49">
        <f t="shared" si="7"/>
        <v>1.0037370364637463</v>
      </c>
      <c r="H131" s="97">
        <v>0.99647151229008235</v>
      </c>
    </row>
    <row r="132" spans="1:8" x14ac:dyDescent="0.35">
      <c r="A132" s="68" t="s">
        <v>124</v>
      </c>
      <c r="B132" s="61" t="str">
        <f t="shared" si="9"/>
        <v>2016</v>
      </c>
      <c r="C132" s="86">
        <v>22157</v>
      </c>
      <c r="D132" s="63">
        <v>2016</v>
      </c>
      <c r="E132" s="61">
        <v>131</v>
      </c>
      <c r="F132" s="91">
        <f t="shared" si="6"/>
        <v>22643.416666666668</v>
      </c>
      <c r="G132" s="49">
        <f t="shared" si="7"/>
        <v>0.9785184067480982</v>
      </c>
      <c r="H132" s="97">
        <v>0.99924985141460465</v>
      </c>
    </row>
    <row r="133" spans="1:8" x14ac:dyDescent="0.35">
      <c r="A133" s="68" t="s">
        <v>125</v>
      </c>
      <c r="B133" s="61" t="str">
        <f t="shared" si="9"/>
        <v>2016</v>
      </c>
      <c r="C133" s="86">
        <v>22989</v>
      </c>
      <c r="D133" s="63">
        <v>2016</v>
      </c>
      <c r="E133" s="61">
        <v>132</v>
      </c>
      <c r="F133" s="91">
        <f t="shared" si="6"/>
        <v>22764.75</v>
      </c>
      <c r="G133" s="49">
        <f t="shared" si="7"/>
        <v>1.0098507561031858</v>
      </c>
      <c r="H133" s="97">
        <v>1.0121735261994504</v>
      </c>
    </row>
    <row r="134" spans="1:8" x14ac:dyDescent="0.35">
      <c r="A134" s="68" t="s">
        <v>126</v>
      </c>
      <c r="B134" s="61" t="str">
        <f t="shared" si="9"/>
        <v>2016</v>
      </c>
      <c r="C134" s="86">
        <v>22211</v>
      </c>
      <c r="D134" s="63">
        <v>2016</v>
      </c>
      <c r="E134" s="61">
        <v>133</v>
      </c>
      <c r="F134" s="91">
        <f t="shared" si="6"/>
        <v>22780.833333333332</v>
      </c>
      <c r="G134" s="49">
        <f t="shared" si="7"/>
        <v>0.97498628232798046</v>
      </c>
      <c r="H134" s="97">
        <v>0.98079097156469441</v>
      </c>
    </row>
    <row r="135" spans="1:8" x14ac:dyDescent="0.35">
      <c r="A135" s="68" t="s">
        <v>127</v>
      </c>
      <c r="B135" s="61" t="str">
        <f t="shared" si="9"/>
        <v>2016</v>
      </c>
      <c r="C135" s="86">
        <v>22096</v>
      </c>
      <c r="D135" s="63">
        <v>2016</v>
      </c>
      <c r="E135" s="61">
        <v>134</v>
      </c>
      <c r="F135" s="91">
        <f t="shared" si="6"/>
        <v>22736.75</v>
      </c>
      <c r="G135" s="49">
        <f t="shared" si="7"/>
        <v>0.97181875158059094</v>
      </c>
      <c r="H135" s="97">
        <v>1.0323394347969677</v>
      </c>
    </row>
    <row r="136" spans="1:8" x14ac:dyDescent="0.35">
      <c r="A136" s="68" t="s">
        <v>128</v>
      </c>
      <c r="B136" s="61" t="str">
        <f t="shared" si="9"/>
        <v>2016</v>
      </c>
      <c r="C136" s="86">
        <v>21854</v>
      </c>
      <c r="D136" s="63">
        <v>2016</v>
      </c>
      <c r="E136" s="61">
        <v>135</v>
      </c>
      <c r="F136" s="91">
        <f t="shared" si="6"/>
        <v>22754.416666666668</v>
      </c>
      <c r="G136" s="49">
        <f t="shared" si="7"/>
        <v>0.96042892771732957</v>
      </c>
      <c r="H136" s="97">
        <v>0.9922802514367296</v>
      </c>
    </row>
    <row r="137" spans="1:8" x14ac:dyDescent="0.35">
      <c r="A137" s="68" t="s">
        <v>129</v>
      </c>
      <c r="B137" s="61" t="str">
        <f t="shared" si="9"/>
        <v>2016</v>
      </c>
      <c r="C137" s="86">
        <v>24489</v>
      </c>
      <c r="D137" s="63">
        <v>2016</v>
      </c>
      <c r="E137" s="61">
        <v>136</v>
      </c>
      <c r="F137" s="91">
        <f t="shared" si="6"/>
        <v>22694.166666666668</v>
      </c>
      <c r="G137" s="49">
        <f t="shared" si="7"/>
        <v>1.0790878713325744</v>
      </c>
      <c r="H137" s="97">
        <v>1.1073678838309451</v>
      </c>
    </row>
    <row r="138" spans="1:8" x14ac:dyDescent="0.35">
      <c r="A138" s="68" t="s">
        <v>130</v>
      </c>
      <c r="B138" s="61" t="str">
        <f t="shared" si="9"/>
        <v>2017</v>
      </c>
      <c r="C138" s="86">
        <v>22379</v>
      </c>
      <c r="D138" s="63">
        <v>2017</v>
      </c>
      <c r="E138" s="61">
        <v>137</v>
      </c>
      <c r="F138" s="91">
        <f t="shared" si="6"/>
        <v>22712.666666666668</v>
      </c>
      <c r="G138" s="49">
        <f t="shared" si="7"/>
        <v>0.98530922539552079</v>
      </c>
      <c r="H138" s="97">
        <v>1.0234185080278571</v>
      </c>
    </row>
    <row r="139" spans="1:8" x14ac:dyDescent="0.35">
      <c r="A139" s="68" t="s">
        <v>131</v>
      </c>
      <c r="B139" s="61" t="str">
        <f t="shared" si="9"/>
        <v>2017</v>
      </c>
      <c r="C139" s="86">
        <v>21234</v>
      </c>
      <c r="D139" s="63">
        <v>2017</v>
      </c>
      <c r="E139" s="61">
        <v>138</v>
      </c>
      <c r="F139" s="91">
        <f t="shared" si="6"/>
        <v>22616.333333333332</v>
      </c>
      <c r="G139" s="49">
        <f t="shared" si="7"/>
        <v>0.9388789812672258</v>
      </c>
      <c r="H139" s="97">
        <v>0.96778361364008814</v>
      </c>
    </row>
    <row r="140" spans="1:8" x14ac:dyDescent="0.35">
      <c r="A140" s="68" t="s">
        <v>132</v>
      </c>
      <c r="B140" s="61" t="str">
        <f t="shared" si="9"/>
        <v>2017</v>
      </c>
      <c r="C140" s="86">
        <v>23348</v>
      </c>
      <c r="D140" s="63">
        <v>2017</v>
      </c>
      <c r="E140" s="61">
        <v>139</v>
      </c>
      <c r="F140" s="91">
        <f t="shared" si="6"/>
        <v>22599.5</v>
      </c>
      <c r="G140" s="49">
        <f t="shared" si="7"/>
        <v>1.0331202017743755</v>
      </c>
      <c r="H140" s="97">
        <v>1.0471910079749045</v>
      </c>
    </row>
    <row r="141" spans="1:8" x14ac:dyDescent="0.35">
      <c r="A141" s="68" t="s">
        <v>133</v>
      </c>
      <c r="B141" s="61" t="str">
        <f t="shared" si="9"/>
        <v>2017</v>
      </c>
      <c r="C141" s="86">
        <v>22294</v>
      </c>
      <c r="D141" s="63">
        <v>2017</v>
      </c>
      <c r="E141" s="61">
        <v>140</v>
      </c>
      <c r="F141" s="91">
        <f t="shared" si="6"/>
        <v>22569.833333333332</v>
      </c>
      <c r="G141" s="49">
        <f t="shared" si="7"/>
        <v>0.98777867212134196</v>
      </c>
      <c r="H141" s="97">
        <v>1.0057927338780821</v>
      </c>
    </row>
    <row r="142" spans="1:8" x14ac:dyDescent="0.35">
      <c r="A142" s="70" t="s">
        <v>134</v>
      </c>
      <c r="B142" s="61" t="str">
        <f t="shared" si="9"/>
        <v>2017</v>
      </c>
      <c r="C142" s="86">
        <v>23737</v>
      </c>
      <c r="D142" s="63">
        <v>2017</v>
      </c>
      <c r="E142" s="61">
        <v>141</v>
      </c>
      <c r="F142" s="91">
        <f t="shared" ref="F142:F181" si="10">AVERAGE(C131:C142)</f>
        <v>22623.666666666668</v>
      </c>
      <c r="G142" s="49">
        <f t="shared" ref="G142:G181" si="11">C142/F142</f>
        <v>1.0492110032267095</v>
      </c>
      <c r="H142" s="97">
        <v>1.0311404366997561</v>
      </c>
    </row>
    <row r="143" spans="1:8" x14ac:dyDescent="0.35">
      <c r="A143" s="68" t="s">
        <v>135</v>
      </c>
      <c r="B143" s="61" t="str">
        <f t="shared" si="9"/>
        <v>2017</v>
      </c>
      <c r="C143" s="86">
        <v>23055</v>
      </c>
      <c r="D143" s="63">
        <v>2017</v>
      </c>
      <c r="E143" s="61">
        <v>142</v>
      </c>
      <c r="F143" s="91">
        <f t="shared" si="10"/>
        <v>22653.583333333332</v>
      </c>
      <c r="G143" s="49">
        <f t="shared" si="11"/>
        <v>1.017719786788698</v>
      </c>
      <c r="H143" s="97">
        <v>0.99647151229008235</v>
      </c>
    </row>
    <row r="144" spans="1:8" x14ac:dyDescent="0.35">
      <c r="A144" s="68" t="s">
        <v>136</v>
      </c>
      <c r="B144" s="61" t="str">
        <f t="shared" si="9"/>
        <v>2017</v>
      </c>
      <c r="C144" s="86">
        <v>22295</v>
      </c>
      <c r="D144" s="63">
        <v>2017</v>
      </c>
      <c r="E144" s="61">
        <v>143</v>
      </c>
      <c r="F144" s="91">
        <f t="shared" si="10"/>
        <v>22665.083333333332</v>
      </c>
      <c r="G144" s="49">
        <f t="shared" si="11"/>
        <v>0.98367165353462194</v>
      </c>
      <c r="H144" s="97">
        <v>0.99924985141460465</v>
      </c>
    </row>
    <row r="145" spans="1:8" x14ac:dyDescent="0.35">
      <c r="A145" s="68" t="s">
        <v>137</v>
      </c>
      <c r="B145" s="61" t="str">
        <f t="shared" si="9"/>
        <v>2017</v>
      </c>
      <c r="C145" s="86">
        <v>23540</v>
      </c>
      <c r="D145" s="63">
        <v>2017</v>
      </c>
      <c r="E145" s="61">
        <v>144</v>
      </c>
      <c r="F145" s="91">
        <f t="shared" si="10"/>
        <v>22711</v>
      </c>
      <c r="G145" s="49">
        <f t="shared" si="11"/>
        <v>1.0365021355290387</v>
      </c>
      <c r="H145" s="97">
        <v>1.0121735261994504</v>
      </c>
    </row>
    <row r="146" spans="1:8" x14ac:dyDescent="0.35">
      <c r="A146" s="68" t="s">
        <v>138</v>
      </c>
      <c r="B146" s="61" t="str">
        <f t="shared" si="9"/>
        <v>2017</v>
      </c>
      <c r="C146" s="86">
        <v>22628</v>
      </c>
      <c r="D146" s="63">
        <v>2017</v>
      </c>
      <c r="E146" s="61">
        <v>145</v>
      </c>
      <c r="F146" s="91">
        <f t="shared" si="10"/>
        <v>22745.75</v>
      </c>
      <c r="G146" s="49">
        <f t="shared" si="11"/>
        <v>0.99482320873130148</v>
      </c>
      <c r="H146" s="97">
        <v>0.98079097156469441</v>
      </c>
    </row>
    <row r="147" spans="1:8" x14ac:dyDescent="0.35">
      <c r="A147" s="68" t="s">
        <v>139</v>
      </c>
      <c r="B147" s="61" t="str">
        <f t="shared" si="9"/>
        <v>2017</v>
      </c>
      <c r="C147" s="86">
        <v>24105</v>
      </c>
      <c r="D147" s="63">
        <v>2017</v>
      </c>
      <c r="E147" s="61">
        <v>146</v>
      </c>
      <c r="F147" s="91">
        <f t="shared" si="10"/>
        <v>22913.166666666668</v>
      </c>
      <c r="G147" s="49">
        <f t="shared" si="11"/>
        <v>1.0520152168694854</v>
      </c>
      <c r="H147" s="97">
        <v>1.0323394347969677</v>
      </c>
    </row>
    <row r="148" spans="1:8" x14ac:dyDescent="0.35">
      <c r="A148" s="68" t="s">
        <v>140</v>
      </c>
      <c r="B148" s="61" t="str">
        <f t="shared" si="9"/>
        <v>2017</v>
      </c>
      <c r="C148" s="86">
        <v>23359</v>
      </c>
      <c r="D148" s="63">
        <v>2017</v>
      </c>
      <c r="E148" s="61">
        <v>147</v>
      </c>
      <c r="F148" s="91">
        <f t="shared" si="10"/>
        <v>23038.583333333332</v>
      </c>
      <c r="G148" s="49">
        <f t="shared" si="11"/>
        <v>1.0139078285340173</v>
      </c>
      <c r="H148" s="97">
        <v>0.9922802514367296</v>
      </c>
    </row>
    <row r="149" spans="1:8" x14ac:dyDescent="0.35">
      <c r="A149" s="68" t="s">
        <v>141</v>
      </c>
      <c r="B149" s="61" t="str">
        <f t="shared" si="9"/>
        <v>2017</v>
      </c>
      <c r="C149" s="86">
        <v>25422</v>
      </c>
      <c r="D149" s="63">
        <v>2017</v>
      </c>
      <c r="E149" s="61">
        <v>148</v>
      </c>
      <c r="F149" s="91">
        <f t="shared" si="10"/>
        <v>23116.333333333332</v>
      </c>
      <c r="G149" s="49">
        <f t="shared" si="11"/>
        <v>1.0997418852470837</v>
      </c>
      <c r="H149" s="97">
        <v>1.1073678838309451</v>
      </c>
    </row>
    <row r="150" spans="1:8" x14ac:dyDescent="0.35">
      <c r="A150" s="68" t="s">
        <v>142</v>
      </c>
      <c r="B150" s="61" t="str">
        <f t="shared" si="9"/>
        <v>2018</v>
      </c>
      <c r="C150" s="86">
        <v>24280</v>
      </c>
      <c r="D150" s="63">
        <v>2018</v>
      </c>
      <c r="E150" s="61">
        <v>149</v>
      </c>
      <c r="F150" s="91">
        <f t="shared" si="10"/>
        <v>23274.75</v>
      </c>
      <c r="G150" s="49">
        <f t="shared" si="11"/>
        <v>1.0431905820685508</v>
      </c>
      <c r="H150" s="97">
        <v>1.0234185080278571</v>
      </c>
    </row>
    <row r="151" spans="1:8" x14ac:dyDescent="0.35">
      <c r="A151" s="68" t="s">
        <v>143</v>
      </c>
      <c r="B151" s="61" t="str">
        <f t="shared" si="9"/>
        <v>2018</v>
      </c>
      <c r="C151" s="86">
        <v>22007</v>
      </c>
      <c r="D151" s="63">
        <v>2018</v>
      </c>
      <c r="E151" s="61">
        <v>150</v>
      </c>
      <c r="F151" s="91">
        <f t="shared" si="10"/>
        <v>23339.166666666668</v>
      </c>
      <c r="G151" s="49">
        <f t="shared" si="11"/>
        <v>0.94292141250401684</v>
      </c>
      <c r="H151" s="97">
        <v>0.96778361364008814</v>
      </c>
    </row>
    <row r="152" spans="1:8" x14ac:dyDescent="0.35">
      <c r="A152" s="68" t="s">
        <v>144</v>
      </c>
      <c r="B152" s="61" t="str">
        <f t="shared" si="9"/>
        <v>2018</v>
      </c>
      <c r="C152" s="86">
        <v>24075</v>
      </c>
      <c r="D152" s="63">
        <v>2018</v>
      </c>
      <c r="E152" s="61">
        <v>151</v>
      </c>
      <c r="F152" s="91">
        <f t="shared" si="10"/>
        <v>23399.75</v>
      </c>
      <c r="G152" s="49">
        <f t="shared" si="11"/>
        <v>1.0288571459096785</v>
      </c>
      <c r="H152" s="97">
        <v>1.0471910079749045</v>
      </c>
    </row>
    <row r="153" spans="1:8" x14ac:dyDescent="0.35">
      <c r="A153" s="68" t="s">
        <v>145</v>
      </c>
      <c r="B153" s="61" t="str">
        <f t="shared" si="9"/>
        <v>2018</v>
      </c>
      <c r="C153" s="86">
        <v>23242</v>
      </c>
      <c r="D153" s="63">
        <v>2018</v>
      </c>
      <c r="E153" s="61">
        <v>152</v>
      </c>
      <c r="F153" s="91">
        <f t="shared" si="10"/>
        <v>23478.75</v>
      </c>
      <c r="G153" s="49">
        <f t="shared" si="11"/>
        <v>0.98991641377841666</v>
      </c>
      <c r="H153" s="97">
        <v>1.0057927338780821</v>
      </c>
    </row>
    <row r="154" spans="1:8" x14ac:dyDescent="0.35">
      <c r="A154" s="70" t="s">
        <v>146</v>
      </c>
      <c r="B154" s="61" t="str">
        <f t="shared" si="9"/>
        <v>2018</v>
      </c>
      <c r="C154" s="86">
        <v>24848</v>
      </c>
      <c r="D154" s="63">
        <v>2018</v>
      </c>
      <c r="E154" s="61">
        <v>153</v>
      </c>
      <c r="F154" s="91">
        <f t="shared" si="10"/>
        <v>23571.333333333332</v>
      </c>
      <c r="G154" s="49">
        <f t="shared" si="11"/>
        <v>1.0541618349973132</v>
      </c>
      <c r="H154" s="97">
        <v>1.0311404366997561</v>
      </c>
    </row>
    <row r="155" spans="1:8" x14ac:dyDescent="0.35">
      <c r="A155" s="68" t="s">
        <v>147</v>
      </c>
      <c r="B155" s="61" t="str">
        <f t="shared" si="9"/>
        <v>2018</v>
      </c>
      <c r="C155" s="86">
        <v>23329</v>
      </c>
      <c r="D155" s="63">
        <v>2018</v>
      </c>
      <c r="E155" s="61">
        <v>154</v>
      </c>
      <c r="F155" s="91">
        <f t="shared" si="10"/>
        <v>23594.166666666668</v>
      </c>
      <c r="G155" s="49">
        <f t="shared" si="11"/>
        <v>0.98876134637798885</v>
      </c>
      <c r="H155" s="97">
        <v>0.99647151229008235</v>
      </c>
    </row>
    <row r="156" spans="1:8" x14ac:dyDescent="0.35">
      <c r="A156" s="68" t="s">
        <v>148</v>
      </c>
      <c r="B156" s="61" t="str">
        <f t="shared" si="9"/>
        <v>2018</v>
      </c>
      <c r="C156" s="86">
        <v>23581</v>
      </c>
      <c r="D156" s="63">
        <v>2018</v>
      </c>
      <c r="E156" s="61">
        <v>155</v>
      </c>
      <c r="F156" s="91">
        <f t="shared" si="10"/>
        <v>23701.333333333332</v>
      </c>
      <c r="G156" s="49">
        <f t="shared" si="11"/>
        <v>0.99492292979297936</v>
      </c>
      <c r="H156" s="97">
        <v>0.99924985141460465</v>
      </c>
    </row>
    <row r="157" spans="1:8" x14ac:dyDescent="0.35">
      <c r="A157" s="68" t="s">
        <v>149</v>
      </c>
      <c r="B157" s="61" t="str">
        <f t="shared" si="9"/>
        <v>2018</v>
      </c>
      <c r="C157" s="86">
        <v>24762</v>
      </c>
      <c r="D157" s="63">
        <v>2018</v>
      </c>
      <c r="E157" s="61">
        <v>156</v>
      </c>
      <c r="F157" s="91">
        <f t="shared" si="10"/>
        <v>23803.166666666668</v>
      </c>
      <c r="G157" s="49">
        <f t="shared" si="11"/>
        <v>1.0402817552286461</v>
      </c>
      <c r="H157" s="97">
        <v>1.0121735261994504</v>
      </c>
    </row>
    <row r="158" spans="1:8" x14ac:dyDescent="0.35">
      <c r="A158" s="68" t="s">
        <v>150</v>
      </c>
      <c r="B158" s="61" t="str">
        <f t="shared" si="9"/>
        <v>2018</v>
      </c>
      <c r="C158" s="86">
        <v>22930</v>
      </c>
      <c r="D158" s="63">
        <v>2018</v>
      </c>
      <c r="E158" s="61">
        <v>157</v>
      </c>
      <c r="F158" s="91">
        <f t="shared" si="10"/>
        <v>23828.333333333332</v>
      </c>
      <c r="G158" s="49">
        <f t="shared" si="11"/>
        <v>0.96229978317129472</v>
      </c>
      <c r="H158" s="97">
        <v>0.98079097156469441</v>
      </c>
    </row>
    <row r="159" spans="1:8" x14ac:dyDescent="0.35">
      <c r="A159" s="68" t="s">
        <v>151</v>
      </c>
      <c r="B159" s="61" t="str">
        <f t="shared" si="9"/>
        <v>2018</v>
      </c>
      <c r="C159" s="86">
        <v>25608</v>
      </c>
      <c r="D159" s="63">
        <v>2018</v>
      </c>
      <c r="E159" s="61">
        <v>158</v>
      </c>
      <c r="F159" s="91">
        <f t="shared" si="10"/>
        <v>23953.583333333332</v>
      </c>
      <c r="G159" s="49">
        <f t="shared" si="11"/>
        <v>1.0690676064471913</v>
      </c>
      <c r="H159" s="97">
        <v>1.0323394347969677</v>
      </c>
    </row>
    <row r="160" spans="1:8" x14ac:dyDescent="0.35">
      <c r="A160" s="68" t="s">
        <v>152</v>
      </c>
      <c r="B160" s="61" t="str">
        <f t="shared" si="9"/>
        <v>2018</v>
      </c>
      <c r="C160" s="86">
        <v>24553</v>
      </c>
      <c r="D160" s="63">
        <v>2018</v>
      </c>
      <c r="E160" s="61">
        <v>159</v>
      </c>
      <c r="F160" s="91">
        <f t="shared" si="10"/>
        <v>24053.083333333332</v>
      </c>
      <c r="G160" s="49">
        <f t="shared" si="11"/>
        <v>1.0207838911851219</v>
      </c>
      <c r="H160" s="97">
        <v>0.9922802514367296</v>
      </c>
    </row>
    <row r="161" spans="1:8" x14ac:dyDescent="0.35">
      <c r="A161" s="68" t="s">
        <v>153</v>
      </c>
      <c r="B161" s="61" t="str">
        <f t="shared" si="9"/>
        <v>2018</v>
      </c>
      <c r="C161" s="86">
        <v>25631</v>
      </c>
      <c r="D161" s="63">
        <v>2018</v>
      </c>
      <c r="E161" s="61">
        <v>160</v>
      </c>
      <c r="F161" s="91">
        <f t="shared" si="10"/>
        <v>24070.5</v>
      </c>
      <c r="G161" s="49">
        <f t="shared" si="11"/>
        <v>1.064830394050809</v>
      </c>
      <c r="H161" s="97">
        <v>1.1073678838309451</v>
      </c>
    </row>
    <row r="162" spans="1:8" x14ac:dyDescent="0.35">
      <c r="A162" s="68" t="s">
        <v>154</v>
      </c>
      <c r="B162" s="61" t="str">
        <f t="shared" ref="B162:B193" si="12">MID(A162,6,4)</f>
        <v>2019</v>
      </c>
      <c r="C162" s="86">
        <v>25037</v>
      </c>
      <c r="D162" s="63">
        <v>2019</v>
      </c>
      <c r="E162" s="61">
        <v>161</v>
      </c>
      <c r="F162" s="91">
        <f t="shared" si="10"/>
        <v>24133.583333333332</v>
      </c>
      <c r="G162" s="49">
        <f t="shared" si="11"/>
        <v>1.0374340044819979</v>
      </c>
      <c r="H162" s="97">
        <v>1.0234185080278571</v>
      </c>
    </row>
    <row r="163" spans="1:8" x14ac:dyDescent="0.35">
      <c r="A163" s="68" t="s">
        <v>155</v>
      </c>
      <c r="B163" s="61" t="str">
        <f t="shared" si="12"/>
        <v>2019</v>
      </c>
      <c r="C163" s="86">
        <v>23240</v>
      </c>
      <c r="D163" s="63">
        <v>2019</v>
      </c>
      <c r="E163" s="61">
        <v>162</v>
      </c>
      <c r="F163" s="91">
        <f t="shared" si="10"/>
        <v>24236.333333333332</v>
      </c>
      <c r="G163" s="49">
        <f t="shared" si="11"/>
        <v>0.95889092134398768</v>
      </c>
      <c r="H163" s="97">
        <v>0.96778361364008814</v>
      </c>
    </row>
    <row r="164" spans="1:8" x14ac:dyDescent="0.35">
      <c r="A164" s="68" t="s">
        <v>156</v>
      </c>
      <c r="B164" s="61" t="str">
        <f t="shared" si="12"/>
        <v>2019</v>
      </c>
      <c r="C164" s="86">
        <v>24577</v>
      </c>
      <c r="D164" s="63">
        <v>2019</v>
      </c>
      <c r="E164" s="61">
        <v>163</v>
      </c>
      <c r="F164" s="91">
        <f t="shared" si="10"/>
        <v>24278.166666666668</v>
      </c>
      <c r="G164" s="49">
        <f t="shared" si="11"/>
        <v>1.0123087273201572</v>
      </c>
      <c r="H164" s="97">
        <v>1.0471910079749045</v>
      </c>
    </row>
    <row r="165" spans="1:8" x14ac:dyDescent="0.35">
      <c r="A165" s="68" t="s">
        <v>157</v>
      </c>
      <c r="B165" s="61" t="str">
        <f t="shared" si="12"/>
        <v>2019</v>
      </c>
      <c r="C165" s="86">
        <v>24806</v>
      </c>
      <c r="D165" s="63">
        <v>2019</v>
      </c>
      <c r="E165" s="61">
        <v>164</v>
      </c>
      <c r="F165" s="91">
        <f t="shared" si="10"/>
        <v>24408.5</v>
      </c>
      <c r="G165" s="49">
        <f t="shared" si="11"/>
        <v>1.0162853104451319</v>
      </c>
      <c r="H165" s="97">
        <v>1.0057927338780821</v>
      </c>
    </row>
    <row r="166" spans="1:8" x14ac:dyDescent="0.35">
      <c r="A166" s="70" t="s">
        <v>158</v>
      </c>
      <c r="B166" s="61" t="str">
        <f t="shared" si="12"/>
        <v>2019</v>
      </c>
      <c r="C166" s="86">
        <v>25717</v>
      </c>
      <c r="D166" s="63">
        <v>2019</v>
      </c>
      <c r="E166" s="61">
        <v>165</v>
      </c>
      <c r="F166" s="91">
        <f t="shared" si="10"/>
        <v>24480.916666666668</v>
      </c>
      <c r="G166" s="49">
        <f t="shared" si="11"/>
        <v>1.0504917095288506</v>
      </c>
      <c r="H166" s="97">
        <v>1.0311404366997561</v>
      </c>
    </row>
    <row r="167" spans="1:8" x14ac:dyDescent="0.35">
      <c r="A167" s="68" t="s">
        <v>159</v>
      </c>
      <c r="B167" s="61" t="str">
        <f t="shared" si="12"/>
        <v>2019</v>
      </c>
      <c r="C167" s="86">
        <v>23745</v>
      </c>
      <c r="D167" s="63">
        <v>2019</v>
      </c>
      <c r="E167" s="61">
        <v>166</v>
      </c>
      <c r="F167" s="91">
        <f t="shared" si="10"/>
        <v>24515.583333333332</v>
      </c>
      <c r="G167" s="49">
        <f t="shared" si="11"/>
        <v>0.96856761175714767</v>
      </c>
      <c r="H167" s="97">
        <v>0.99647151229008235</v>
      </c>
    </row>
    <row r="168" spans="1:8" x14ac:dyDescent="0.35">
      <c r="A168" s="68" t="s">
        <v>160</v>
      </c>
      <c r="B168" s="61" t="str">
        <f t="shared" si="12"/>
        <v>2019</v>
      </c>
      <c r="C168" s="86">
        <v>24531</v>
      </c>
      <c r="D168" s="63">
        <v>2019</v>
      </c>
      <c r="E168" s="61">
        <v>167</v>
      </c>
      <c r="F168" s="91">
        <f t="shared" si="10"/>
        <v>24594.75</v>
      </c>
      <c r="G168" s="49">
        <f t="shared" si="11"/>
        <v>0.99740798341109382</v>
      </c>
      <c r="H168" s="97">
        <v>0.99924985141460465</v>
      </c>
    </row>
    <row r="169" spans="1:8" x14ac:dyDescent="0.35">
      <c r="A169" s="68" t="s">
        <v>161</v>
      </c>
      <c r="B169" s="61" t="str">
        <f t="shared" si="12"/>
        <v>2019</v>
      </c>
      <c r="C169" s="86">
        <v>24710</v>
      </c>
      <c r="D169" s="63">
        <v>2019</v>
      </c>
      <c r="E169" s="61">
        <v>168</v>
      </c>
      <c r="F169" s="91">
        <f t="shared" si="10"/>
        <v>24590.416666666668</v>
      </c>
      <c r="G169" s="49">
        <f t="shared" si="11"/>
        <v>1.0048630055746648</v>
      </c>
      <c r="H169" s="97">
        <v>1.0121735261994504</v>
      </c>
    </row>
    <row r="170" spans="1:8" x14ac:dyDescent="0.35">
      <c r="A170" s="68" t="s">
        <v>162</v>
      </c>
      <c r="B170" s="61" t="str">
        <f t="shared" si="12"/>
        <v>2019</v>
      </c>
      <c r="C170" s="86">
        <v>23630</v>
      </c>
      <c r="D170" s="63">
        <v>2019</v>
      </c>
      <c r="E170" s="61">
        <v>169</v>
      </c>
      <c r="F170" s="91">
        <f t="shared" si="10"/>
        <v>24648.75</v>
      </c>
      <c r="G170" s="49">
        <f t="shared" si="11"/>
        <v>0.95866930371722703</v>
      </c>
      <c r="H170" s="97">
        <v>0.98079097156469441</v>
      </c>
    </row>
    <row r="171" spans="1:8" x14ac:dyDescent="0.35">
      <c r="A171" s="68" t="s">
        <v>163</v>
      </c>
      <c r="B171" s="61" t="str">
        <f t="shared" si="12"/>
        <v>2019</v>
      </c>
      <c r="C171" s="86">
        <v>26097</v>
      </c>
      <c r="D171" s="63">
        <v>2019</v>
      </c>
      <c r="E171" s="61">
        <v>170</v>
      </c>
      <c r="F171" s="91">
        <f t="shared" si="10"/>
        <v>24689.5</v>
      </c>
      <c r="G171" s="49">
        <f t="shared" si="11"/>
        <v>1.057008039854999</v>
      </c>
      <c r="H171" s="97">
        <v>1.0323394347969677</v>
      </c>
    </row>
    <row r="172" spans="1:8" x14ac:dyDescent="0.35">
      <c r="A172" s="68" t="s">
        <v>164</v>
      </c>
      <c r="B172" s="61" t="str">
        <f t="shared" si="12"/>
        <v>2019</v>
      </c>
      <c r="C172" s="86">
        <v>23964</v>
      </c>
      <c r="D172" s="63">
        <v>2019</v>
      </c>
      <c r="E172" s="61">
        <v>171</v>
      </c>
      <c r="F172" s="91">
        <f t="shared" si="10"/>
        <v>24640.416666666668</v>
      </c>
      <c r="G172" s="49">
        <f t="shared" si="11"/>
        <v>0.97254848910157765</v>
      </c>
      <c r="H172" s="97">
        <v>0.9922802514367296</v>
      </c>
    </row>
    <row r="173" spans="1:8" x14ac:dyDescent="0.35">
      <c r="A173" s="68" t="s">
        <v>165</v>
      </c>
      <c r="B173" s="61" t="str">
        <f t="shared" si="12"/>
        <v>2019</v>
      </c>
      <c r="C173" s="86">
        <v>26509</v>
      </c>
      <c r="D173" s="63">
        <v>2019</v>
      </c>
      <c r="E173" s="61">
        <v>172</v>
      </c>
      <c r="F173" s="91">
        <f t="shared" si="10"/>
        <v>24713.583333333332</v>
      </c>
      <c r="G173" s="49">
        <f t="shared" si="11"/>
        <v>1.0726489818352256</v>
      </c>
      <c r="H173" s="97">
        <v>1.1073678838309451</v>
      </c>
    </row>
    <row r="174" spans="1:8" x14ac:dyDescent="0.35">
      <c r="A174" s="68" t="s">
        <v>166</v>
      </c>
      <c r="B174" s="61" t="str">
        <f t="shared" si="12"/>
        <v>2020</v>
      </c>
      <c r="C174" s="86">
        <v>25209</v>
      </c>
      <c r="D174" s="63">
        <v>2020</v>
      </c>
      <c r="E174" s="61">
        <v>173</v>
      </c>
      <c r="F174" s="91">
        <f t="shared" si="10"/>
        <v>24727.916666666668</v>
      </c>
      <c r="G174" s="49">
        <f t="shared" si="11"/>
        <v>1.0194550693379614</v>
      </c>
      <c r="H174" s="97">
        <v>1.0234185080278571</v>
      </c>
    </row>
    <row r="175" spans="1:8" x14ac:dyDescent="0.35">
      <c r="A175" s="68" t="s">
        <v>167</v>
      </c>
      <c r="B175" s="61" t="str">
        <f t="shared" si="12"/>
        <v>2020</v>
      </c>
      <c r="C175" s="86">
        <v>23934</v>
      </c>
      <c r="D175" s="63">
        <v>2020</v>
      </c>
      <c r="E175" s="61">
        <v>174</v>
      </c>
      <c r="F175" s="91">
        <f t="shared" si="10"/>
        <v>24785.75</v>
      </c>
      <c r="G175" s="49">
        <f t="shared" si="11"/>
        <v>0.96563549620245503</v>
      </c>
      <c r="H175" s="97">
        <v>0.96778361364008814</v>
      </c>
    </row>
    <row r="176" spans="1:8" x14ac:dyDescent="0.35">
      <c r="A176" s="68" t="s">
        <v>168</v>
      </c>
      <c r="B176" s="61" t="str">
        <f t="shared" si="12"/>
        <v>2020</v>
      </c>
      <c r="C176" s="86">
        <v>27839</v>
      </c>
      <c r="D176" s="63">
        <v>2020</v>
      </c>
      <c r="E176" s="61">
        <v>175</v>
      </c>
      <c r="F176" s="91">
        <f t="shared" si="10"/>
        <v>25057.583333333332</v>
      </c>
      <c r="G176" s="49">
        <f t="shared" si="11"/>
        <v>1.1110009943762866</v>
      </c>
      <c r="H176" s="97">
        <v>1.0471910079749045</v>
      </c>
    </row>
    <row r="177" spans="1:8" x14ac:dyDescent="0.35">
      <c r="A177" s="68" t="s">
        <v>169</v>
      </c>
      <c r="B177" s="61" t="str">
        <f t="shared" si="12"/>
        <v>2020</v>
      </c>
      <c r="C177" s="86">
        <v>24749</v>
      </c>
      <c r="D177" s="63">
        <v>2020</v>
      </c>
      <c r="E177" s="61">
        <v>176</v>
      </c>
      <c r="F177" s="91">
        <f t="shared" si="10"/>
        <v>25052.833333333332</v>
      </c>
      <c r="G177" s="49">
        <f t="shared" si="11"/>
        <v>0.98787229654663145</v>
      </c>
      <c r="H177" s="97">
        <v>1.0057927338780821</v>
      </c>
    </row>
    <row r="178" spans="1:8" x14ac:dyDescent="0.35">
      <c r="A178" s="70" t="s">
        <v>170</v>
      </c>
      <c r="B178" s="61" t="str">
        <f t="shared" si="12"/>
        <v>2020</v>
      </c>
      <c r="C178" s="86">
        <v>24923</v>
      </c>
      <c r="D178" s="63">
        <v>2020</v>
      </c>
      <c r="E178" s="61">
        <v>177</v>
      </c>
      <c r="F178" s="91">
        <f t="shared" si="10"/>
        <v>24986.666666666668</v>
      </c>
      <c r="G178" s="49">
        <f t="shared" si="11"/>
        <v>0.99745197438633937</v>
      </c>
      <c r="H178" s="97">
        <v>1.0311404366997561</v>
      </c>
    </row>
    <row r="179" spans="1:8" x14ac:dyDescent="0.35">
      <c r="A179" s="68" t="s">
        <v>171</v>
      </c>
      <c r="B179" s="61" t="str">
        <f t="shared" si="12"/>
        <v>2020</v>
      </c>
      <c r="C179" s="86">
        <v>25841</v>
      </c>
      <c r="D179" s="63">
        <v>2020</v>
      </c>
      <c r="E179" s="61">
        <v>178</v>
      </c>
      <c r="F179" s="91">
        <f t="shared" si="10"/>
        <v>25161.333333333332</v>
      </c>
      <c r="G179" s="49">
        <f t="shared" si="11"/>
        <v>1.027012346987441</v>
      </c>
      <c r="H179" s="97">
        <v>0.99647151229008235</v>
      </c>
    </row>
    <row r="180" spans="1:8" x14ac:dyDescent="0.35">
      <c r="A180" s="68" t="s">
        <v>172</v>
      </c>
      <c r="B180" s="61" t="str">
        <f t="shared" si="12"/>
        <v>2020</v>
      </c>
      <c r="C180" s="86">
        <v>26334</v>
      </c>
      <c r="D180" s="63">
        <v>2020</v>
      </c>
      <c r="E180" s="61">
        <v>179</v>
      </c>
      <c r="F180" s="91">
        <f t="shared" si="10"/>
        <v>25311.583333333332</v>
      </c>
      <c r="G180" s="49">
        <f t="shared" si="11"/>
        <v>1.0403932323475089</v>
      </c>
      <c r="H180" s="97">
        <v>0.99924985141460465</v>
      </c>
    </row>
    <row r="181" spans="1:8" ht="15" thickBot="1" x14ac:dyDescent="0.4">
      <c r="A181" s="71" t="s">
        <v>173</v>
      </c>
      <c r="B181" s="72" t="str">
        <f t="shared" si="12"/>
        <v>2020</v>
      </c>
      <c r="C181" s="87">
        <v>25913</v>
      </c>
      <c r="D181" s="74">
        <v>2020</v>
      </c>
      <c r="E181" s="72">
        <v>180</v>
      </c>
      <c r="F181" s="98">
        <f t="shared" si="10"/>
        <v>25411.833333333332</v>
      </c>
      <c r="G181" s="54">
        <f t="shared" si="11"/>
        <v>1.0197217831587646</v>
      </c>
      <c r="H181" s="99">
        <v>1.0121735261994504</v>
      </c>
    </row>
  </sheetData>
  <mergeCells count="1">
    <mergeCell ref="M3:O5"/>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0A9B-0706-40EF-8151-AB3050AA89F5}">
  <dimension ref="A1:N181"/>
  <sheetViews>
    <sheetView workbookViewId="0">
      <selection activeCell="I10" sqref="I10"/>
    </sheetView>
  </sheetViews>
  <sheetFormatPr defaultRowHeight="14.5" x14ac:dyDescent="0.35"/>
  <cols>
    <col min="1" max="1" width="11.08984375" bestFit="1" customWidth="1"/>
    <col min="2" max="2" width="7.26953125" customWidth="1"/>
    <col min="3" max="3" width="20.6328125" style="7" bestFit="1" customWidth="1"/>
    <col min="4" max="4" width="6.81640625" customWidth="1"/>
    <col min="5" max="5" width="5.90625" customWidth="1"/>
    <col min="6" max="6" width="13.90625" bestFit="1" customWidth="1"/>
    <col min="7" max="7" width="35.6328125" bestFit="1" customWidth="1"/>
  </cols>
  <sheetData>
    <row r="1" spans="1:14" ht="15" thickBot="1" x14ac:dyDescent="0.4">
      <c r="A1" s="80" t="s">
        <v>174</v>
      </c>
      <c r="B1" s="81" t="s">
        <v>175</v>
      </c>
      <c r="C1" s="82" t="s">
        <v>4</v>
      </c>
      <c r="D1" s="81" t="s">
        <v>175</v>
      </c>
      <c r="E1" s="81" t="s">
        <v>184</v>
      </c>
      <c r="F1" s="81" t="s">
        <v>229</v>
      </c>
      <c r="G1" s="100" t="s">
        <v>230</v>
      </c>
    </row>
    <row r="2" spans="1:14" ht="15" thickBot="1" x14ac:dyDescent="0.4">
      <c r="A2" s="60" t="s">
        <v>0</v>
      </c>
      <c r="B2" s="61" t="str">
        <f t="shared" ref="B2:B33" si="0">MID(A2,6,4)</f>
        <v>2005</v>
      </c>
      <c r="C2" s="84">
        <v>14615</v>
      </c>
      <c r="D2" s="63">
        <v>2005</v>
      </c>
      <c r="E2" s="61">
        <v>1</v>
      </c>
      <c r="F2" s="96">
        <v>0.98079097156469441</v>
      </c>
      <c r="G2" s="50">
        <f>C2/F2</f>
        <v>14901.238310426243</v>
      </c>
      <c r="I2" s="116" t="s">
        <v>245</v>
      </c>
      <c r="J2" s="117"/>
      <c r="K2" s="117"/>
      <c r="L2" s="117"/>
      <c r="M2" s="117"/>
      <c r="N2" s="118"/>
    </row>
    <row r="3" spans="1:14" x14ac:dyDescent="0.35">
      <c r="A3" s="60" t="s">
        <v>1</v>
      </c>
      <c r="B3" s="61" t="str">
        <f t="shared" si="0"/>
        <v>2005</v>
      </c>
      <c r="C3" s="84">
        <v>14846</v>
      </c>
      <c r="D3" s="63">
        <v>2005</v>
      </c>
      <c r="E3" s="61">
        <v>2</v>
      </c>
      <c r="F3" s="96">
        <v>1.0323394347969677</v>
      </c>
      <c r="G3" s="50">
        <f t="shared" ref="G3:G66" si="1">C3/F3</f>
        <v>14380.928887909618</v>
      </c>
    </row>
    <row r="4" spans="1:14" x14ac:dyDescent="0.35">
      <c r="A4" s="60" t="s">
        <v>2</v>
      </c>
      <c r="B4" s="61" t="str">
        <f t="shared" si="0"/>
        <v>2005</v>
      </c>
      <c r="C4" s="84">
        <v>14885</v>
      </c>
      <c r="D4" s="63">
        <v>2005</v>
      </c>
      <c r="E4" s="61">
        <v>3</v>
      </c>
      <c r="F4" s="96">
        <v>0.9922802514367296</v>
      </c>
      <c r="G4" s="50">
        <f t="shared" si="1"/>
        <v>15000.802422952491</v>
      </c>
    </row>
    <row r="5" spans="1:14" x14ac:dyDescent="0.35">
      <c r="A5" s="60" t="s">
        <v>3</v>
      </c>
      <c r="B5" s="61" t="str">
        <f t="shared" si="0"/>
        <v>2005</v>
      </c>
      <c r="C5" s="84">
        <v>17103</v>
      </c>
      <c r="D5" s="63">
        <v>2005</v>
      </c>
      <c r="E5" s="61">
        <v>4</v>
      </c>
      <c r="F5" s="96">
        <v>1.1073678838309451</v>
      </c>
      <c r="G5" s="50">
        <f t="shared" si="1"/>
        <v>15444.731827359919</v>
      </c>
    </row>
    <row r="6" spans="1:14" x14ac:dyDescent="0.35">
      <c r="A6" s="60" t="s">
        <v>5</v>
      </c>
      <c r="B6" s="61" t="str">
        <f t="shared" si="0"/>
        <v>2006</v>
      </c>
      <c r="C6" s="84">
        <v>15257</v>
      </c>
      <c r="D6" s="63">
        <v>2006</v>
      </c>
      <c r="E6" s="61">
        <v>5</v>
      </c>
      <c r="F6" s="96">
        <v>1.0234185080278571</v>
      </c>
      <c r="G6" s="50">
        <f t="shared" si="1"/>
        <v>14907.879699577126</v>
      </c>
    </row>
    <row r="7" spans="1:14" x14ac:dyDescent="0.35">
      <c r="A7" s="60" t="s">
        <v>6</v>
      </c>
      <c r="B7" s="61" t="str">
        <f t="shared" si="0"/>
        <v>2006</v>
      </c>
      <c r="C7" s="84">
        <v>14681</v>
      </c>
      <c r="D7" s="63">
        <v>2006</v>
      </c>
      <c r="E7" s="61">
        <v>6</v>
      </c>
      <c r="F7" s="96">
        <v>0.96778361364008814</v>
      </c>
      <c r="G7" s="50">
        <f t="shared" si="1"/>
        <v>15169.71334612797</v>
      </c>
    </row>
    <row r="8" spans="1:14" x14ac:dyDescent="0.35">
      <c r="A8" s="60" t="s">
        <v>7</v>
      </c>
      <c r="B8" s="61" t="str">
        <f t="shared" si="0"/>
        <v>2006</v>
      </c>
      <c r="C8" s="84">
        <v>16174</v>
      </c>
      <c r="D8" s="63">
        <v>2006</v>
      </c>
      <c r="E8" s="61">
        <v>7</v>
      </c>
      <c r="F8" s="96">
        <v>1.0471910079749045</v>
      </c>
      <c r="G8" s="50">
        <f t="shared" si="1"/>
        <v>15445.128803462379</v>
      </c>
    </row>
    <row r="9" spans="1:14" x14ac:dyDescent="0.35">
      <c r="A9" s="60" t="s">
        <v>8</v>
      </c>
      <c r="B9" s="61" t="str">
        <f t="shared" si="0"/>
        <v>2006</v>
      </c>
      <c r="C9" s="84">
        <v>15225</v>
      </c>
      <c r="D9" s="63">
        <v>2006</v>
      </c>
      <c r="E9" s="61">
        <v>8</v>
      </c>
      <c r="F9" s="96">
        <v>1.0057927338780821</v>
      </c>
      <c r="G9" s="50">
        <f t="shared" si="1"/>
        <v>15137.313570854956</v>
      </c>
    </row>
    <row r="10" spans="1:14" x14ac:dyDescent="0.35">
      <c r="A10" s="60" t="s">
        <v>177</v>
      </c>
      <c r="B10" s="61" t="str">
        <f t="shared" si="0"/>
        <v>2006</v>
      </c>
      <c r="C10" s="84">
        <v>16271</v>
      </c>
      <c r="D10" s="63">
        <v>2006</v>
      </c>
      <c r="E10" s="61">
        <v>9</v>
      </c>
      <c r="F10" s="96">
        <v>1.0311404366997561</v>
      </c>
      <c r="G10" s="50">
        <f t="shared" si="1"/>
        <v>15779.615870828015</v>
      </c>
    </row>
    <row r="11" spans="1:14" x14ac:dyDescent="0.35">
      <c r="A11" s="60" t="s">
        <v>9</v>
      </c>
      <c r="B11" s="61" t="str">
        <f t="shared" si="0"/>
        <v>2006</v>
      </c>
      <c r="C11" s="84">
        <v>15720</v>
      </c>
      <c r="D11" s="63">
        <v>2006</v>
      </c>
      <c r="E11" s="61">
        <v>10</v>
      </c>
      <c r="F11" s="96">
        <v>0.99647151229008235</v>
      </c>
      <c r="G11" s="50">
        <f t="shared" si="1"/>
        <v>15775.664237377374</v>
      </c>
    </row>
    <row r="12" spans="1:14" x14ac:dyDescent="0.35">
      <c r="A12" s="60" t="s">
        <v>10</v>
      </c>
      <c r="B12" s="61" t="str">
        <f t="shared" si="0"/>
        <v>2006</v>
      </c>
      <c r="C12" s="84">
        <v>15426</v>
      </c>
      <c r="D12" s="63">
        <v>2006</v>
      </c>
      <c r="E12" s="61">
        <v>11</v>
      </c>
      <c r="F12" s="96">
        <v>0.99924985141460465</v>
      </c>
      <c r="G12" s="50">
        <f t="shared" si="1"/>
        <v>15437.580479158367</v>
      </c>
    </row>
    <row r="13" spans="1:14" x14ac:dyDescent="0.35">
      <c r="A13" s="60" t="s">
        <v>11</v>
      </c>
      <c r="B13" s="61" t="str">
        <f t="shared" si="0"/>
        <v>2006</v>
      </c>
      <c r="C13" s="84">
        <v>16092</v>
      </c>
      <c r="D13" s="63">
        <v>2006</v>
      </c>
      <c r="E13" s="61">
        <v>12</v>
      </c>
      <c r="F13" s="96">
        <v>1.0121735261994504</v>
      </c>
      <c r="G13" s="50">
        <f t="shared" si="1"/>
        <v>15898.459684499834</v>
      </c>
    </row>
    <row r="14" spans="1:14" x14ac:dyDescent="0.35">
      <c r="A14" s="60" t="s">
        <v>12</v>
      </c>
      <c r="B14" s="61" t="str">
        <f t="shared" si="0"/>
        <v>2006</v>
      </c>
      <c r="C14" s="84">
        <v>15483</v>
      </c>
      <c r="D14" s="63">
        <v>2006</v>
      </c>
      <c r="E14" s="61">
        <v>13</v>
      </c>
      <c r="F14" s="96">
        <v>0.98079097156469441</v>
      </c>
      <c r="G14" s="50">
        <f t="shared" si="1"/>
        <v>15786.238300398873</v>
      </c>
    </row>
    <row r="15" spans="1:14" x14ac:dyDescent="0.35">
      <c r="A15" s="60" t="s">
        <v>13</v>
      </c>
      <c r="B15" s="61" t="str">
        <f t="shared" si="0"/>
        <v>2006</v>
      </c>
      <c r="C15" s="84">
        <v>16382</v>
      </c>
      <c r="D15" s="63">
        <v>2006</v>
      </c>
      <c r="E15" s="61">
        <v>14</v>
      </c>
      <c r="F15" s="96">
        <v>1.0323394347969677</v>
      </c>
      <c r="G15" s="50">
        <f t="shared" si="1"/>
        <v>15868.811601895148</v>
      </c>
    </row>
    <row r="16" spans="1:14" x14ac:dyDescent="0.35">
      <c r="A16" s="60" t="s">
        <v>14</v>
      </c>
      <c r="B16" s="61" t="str">
        <f t="shared" si="0"/>
        <v>2006</v>
      </c>
      <c r="C16" s="84">
        <v>16252</v>
      </c>
      <c r="D16" s="63">
        <v>2006</v>
      </c>
      <c r="E16" s="61">
        <v>15</v>
      </c>
      <c r="F16" s="96">
        <v>0.9922802514367296</v>
      </c>
      <c r="G16" s="50">
        <f t="shared" si="1"/>
        <v>16378.43741873187</v>
      </c>
    </row>
    <row r="17" spans="1:7" x14ac:dyDescent="0.35">
      <c r="A17" s="60" t="s">
        <v>15</v>
      </c>
      <c r="B17" s="61" t="str">
        <f t="shared" si="0"/>
        <v>2006</v>
      </c>
      <c r="C17" s="84">
        <v>18055</v>
      </c>
      <c r="D17" s="63">
        <v>2006</v>
      </c>
      <c r="E17" s="61">
        <v>16</v>
      </c>
      <c r="F17" s="96">
        <v>1.1073678838309451</v>
      </c>
      <c r="G17" s="50">
        <f t="shared" si="1"/>
        <v>16304.428061917988</v>
      </c>
    </row>
    <row r="18" spans="1:7" x14ac:dyDescent="0.35">
      <c r="A18" s="60" t="s">
        <v>16</v>
      </c>
      <c r="B18" s="61" t="str">
        <f t="shared" si="0"/>
        <v>2007</v>
      </c>
      <c r="C18" s="84">
        <v>16985</v>
      </c>
      <c r="D18" s="63">
        <v>2007</v>
      </c>
      <c r="E18" s="61">
        <v>17</v>
      </c>
      <c r="F18" s="96">
        <v>1.0234185080278571</v>
      </c>
      <c r="G18" s="50">
        <f t="shared" si="1"/>
        <v>16596.338513293405</v>
      </c>
    </row>
    <row r="19" spans="1:7" x14ac:dyDescent="0.35">
      <c r="A19" s="60" t="s">
        <v>17</v>
      </c>
      <c r="B19" s="61" t="str">
        <f t="shared" si="0"/>
        <v>2007</v>
      </c>
      <c r="C19" s="84">
        <v>15822</v>
      </c>
      <c r="D19" s="63">
        <v>2007</v>
      </c>
      <c r="E19" s="61">
        <v>18</v>
      </c>
      <c r="F19" s="96">
        <v>0.96778361364008814</v>
      </c>
      <c r="G19" s="50">
        <f t="shared" si="1"/>
        <v>16348.695903714784</v>
      </c>
    </row>
    <row r="20" spans="1:7" x14ac:dyDescent="0.35">
      <c r="A20" s="60" t="s">
        <v>18</v>
      </c>
      <c r="B20" s="61" t="str">
        <f t="shared" si="0"/>
        <v>2007</v>
      </c>
      <c r="C20" s="84">
        <v>17258</v>
      </c>
      <c r="D20" s="63">
        <v>2007</v>
      </c>
      <c r="E20" s="61">
        <v>19</v>
      </c>
      <c r="F20" s="96">
        <v>1.0471910079749045</v>
      </c>
      <c r="G20" s="50">
        <f t="shared" si="1"/>
        <v>16480.279021278209</v>
      </c>
    </row>
    <row r="21" spans="1:7" x14ac:dyDescent="0.35">
      <c r="A21" s="60" t="s">
        <v>19</v>
      </c>
      <c r="B21" s="61" t="str">
        <f t="shared" si="0"/>
        <v>2007</v>
      </c>
      <c r="C21" s="84">
        <v>16532</v>
      </c>
      <c r="D21" s="63">
        <v>2007</v>
      </c>
      <c r="E21" s="61">
        <v>20</v>
      </c>
      <c r="F21" s="96">
        <v>1.0057927338780821</v>
      </c>
      <c r="G21" s="50">
        <f t="shared" si="1"/>
        <v>16436.786072471208</v>
      </c>
    </row>
    <row r="22" spans="1:7" x14ac:dyDescent="0.35">
      <c r="A22" s="60" t="s">
        <v>178</v>
      </c>
      <c r="B22" s="61" t="str">
        <f t="shared" si="0"/>
        <v>2007</v>
      </c>
      <c r="C22" s="84">
        <v>17279</v>
      </c>
      <c r="D22" s="63">
        <v>2007</v>
      </c>
      <c r="E22" s="61">
        <v>21</v>
      </c>
      <c r="F22" s="96">
        <v>1.0311404366997561</v>
      </c>
      <c r="G22" s="50">
        <f t="shared" si="1"/>
        <v>16757.174275215861</v>
      </c>
    </row>
    <row r="23" spans="1:7" x14ac:dyDescent="0.35">
      <c r="A23" s="60" t="s">
        <v>20</v>
      </c>
      <c r="B23" s="61" t="str">
        <f t="shared" si="0"/>
        <v>2007</v>
      </c>
      <c r="C23" s="84">
        <v>16497</v>
      </c>
      <c r="D23" s="63">
        <v>2007</v>
      </c>
      <c r="E23" s="61">
        <v>22</v>
      </c>
      <c r="F23" s="96">
        <v>0.99647151229008235</v>
      </c>
      <c r="G23" s="50">
        <f t="shared" si="1"/>
        <v>16555.415580408047</v>
      </c>
    </row>
    <row r="24" spans="1:7" x14ac:dyDescent="0.35">
      <c r="A24" s="60" t="s">
        <v>21</v>
      </c>
      <c r="B24" s="61" t="str">
        <f t="shared" si="0"/>
        <v>2007</v>
      </c>
      <c r="C24" s="84">
        <v>16542</v>
      </c>
      <c r="D24" s="63">
        <v>2007</v>
      </c>
      <c r="E24" s="61">
        <v>23</v>
      </c>
      <c r="F24" s="96">
        <v>0.99924985141460465</v>
      </c>
      <c r="G24" s="50">
        <f t="shared" si="1"/>
        <v>16554.418273449872</v>
      </c>
    </row>
    <row r="25" spans="1:7" x14ac:dyDescent="0.35">
      <c r="A25" s="60" t="s">
        <v>22</v>
      </c>
      <c r="B25" s="61" t="str">
        <f t="shared" si="0"/>
        <v>2007</v>
      </c>
      <c r="C25" s="84">
        <v>16992</v>
      </c>
      <c r="D25" s="63">
        <v>2007</v>
      </c>
      <c r="E25" s="61">
        <v>24</v>
      </c>
      <c r="F25" s="96">
        <v>1.0121735261994504</v>
      </c>
      <c r="G25" s="50">
        <f t="shared" si="1"/>
        <v>16787.635282066938</v>
      </c>
    </row>
    <row r="26" spans="1:7" x14ac:dyDescent="0.35">
      <c r="A26" s="60" t="s">
        <v>23</v>
      </c>
      <c r="B26" s="61" t="str">
        <f t="shared" si="0"/>
        <v>2007</v>
      </c>
      <c r="C26" s="84">
        <v>15966</v>
      </c>
      <c r="D26" s="63">
        <v>2007</v>
      </c>
      <c r="E26" s="61">
        <v>25</v>
      </c>
      <c r="F26" s="96">
        <v>0.98079097156469441</v>
      </c>
      <c r="G26" s="50">
        <f t="shared" si="1"/>
        <v>16278.69797223848</v>
      </c>
    </row>
    <row r="27" spans="1:7" x14ac:dyDescent="0.35">
      <c r="A27" s="60" t="s">
        <v>24</v>
      </c>
      <c r="B27" s="61" t="str">
        <f t="shared" si="0"/>
        <v>2007</v>
      </c>
      <c r="C27" s="84">
        <v>17264</v>
      </c>
      <c r="D27" s="63">
        <v>2007</v>
      </c>
      <c r="E27" s="61">
        <v>26</v>
      </c>
      <c r="F27" s="96">
        <v>1.0323394347969677</v>
      </c>
      <c r="G27" s="50">
        <f t="shared" si="1"/>
        <v>16723.181754066525</v>
      </c>
    </row>
    <row r="28" spans="1:7" x14ac:dyDescent="0.35">
      <c r="A28" s="60" t="s">
        <v>25</v>
      </c>
      <c r="B28" s="61" t="str">
        <f t="shared" si="0"/>
        <v>2007</v>
      </c>
      <c r="C28" s="84">
        <v>16713</v>
      </c>
      <c r="D28" s="63">
        <v>2007</v>
      </c>
      <c r="E28" s="61">
        <v>27</v>
      </c>
      <c r="F28" s="96">
        <v>0.9922802514367296</v>
      </c>
      <c r="G28" s="50">
        <f t="shared" si="1"/>
        <v>16843.023909627474</v>
      </c>
    </row>
    <row r="29" spans="1:7" x14ac:dyDescent="0.35">
      <c r="A29" s="60" t="s">
        <v>26</v>
      </c>
      <c r="B29" s="61" t="str">
        <f t="shared" si="0"/>
        <v>2007</v>
      </c>
      <c r="C29" s="84">
        <v>18434</v>
      </c>
      <c r="D29" s="63">
        <v>2007</v>
      </c>
      <c r="E29" s="61">
        <v>28</v>
      </c>
      <c r="F29" s="96">
        <v>1.1073678838309451</v>
      </c>
      <c r="G29" s="50">
        <f t="shared" si="1"/>
        <v>16646.681079667473</v>
      </c>
    </row>
    <row r="30" spans="1:7" x14ac:dyDescent="0.35">
      <c r="A30" s="60" t="s">
        <v>27</v>
      </c>
      <c r="B30" s="61" t="str">
        <f t="shared" si="0"/>
        <v>2008</v>
      </c>
      <c r="C30" s="84">
        <v>17449</v>
      </c>
      <c r="D30" s="63">
        <v>2008</v>
      </c>
      <c r="E30" s="61">
        <v>29</v>
      </c>
      <c r="F30" s="96">
        <v>1.0234185080278571</v>
      </c>
      <c r="G30" s="50">
        <f t="shared" si="1"/>
        <v>17049.720972532035</v>
      </c>
    </row>
    <row r="31" spans="1:7" x14ac:dyDescent="0.35">
      <c r="A31" s="60" t="s">
        <v>28</v>
      </c>
      <c r="B31" s="61" t="str">
        <f t="shared" si="0"/>
        <v>2008</v>
      </c>
      <c r="C31" s="84">
        <v>17201</v>
      </c>
      <c r="D31" s="63">
        <v>2008</v>
      </c>
      <c r="E31" s="61">
        <v>30</v>
      </c>
      <c r="F31" s="96">
        <v>0.96778361364008814</v>
      </c>
      <c r="G31" s="50">
        <f t="shared" si="1"/>
        <v>17773.601203374921</v>
      </c>
    </row>
    <row r="32" spans="1:7" x14ac:dyDescent="0.35">
      <c r="A32" s="60" t="s">
        <v>29</v>
      </c>
      <c r="B32" s="61" t="str">
        <f t="shared" si="0"/>
        <v>2008</v>
      </c>
      <c r="C32" s="84">
        <v>17719</v>
      </c>
      <c r="D32" s="63">
        <v>2008</v>
      </c>
      <c r="E32" s="61">
        <v>31</v>
      </c>
      <c r="F32" s="96">
        <v>1.0471910079749045</v>
      </c>
      <c r="G32" s="50">
        <f t="shared" si="1"/>
        <v>16920.504344537523</v>
      </c>
    </row>
    <row r="33" spans="1:7" x14ac:dyDescent="0.35">
      <c r="A33" s="60" t="s">
        <v>30</v>
      </c>
      <c r="B33" s="61" t="str">
        <f t="shared" si="0"/>
        <v>2008</v>
      </c>
      <c r="C33" s="84">
        <v>17143</v>
      </c>
      <c r="D33" s="63">
        <v>2008</v>
      </c>
      <c r="E33" s="61">
        <v>32</v>
      </c>
      <c r="F33" s="96">
        <v>1.0057927338780821</v>
      </c>
      <c r="G33" s="50">
        <f t="shared" si="1"/>
        <v>17044.26709656266</v>
      </c>
    </row>
    <row r="34" spans="1:7" x14ac:dyDescent="0.35">
      <c r="A34" s="60" t="s">
        <v>179</v>
      </c>
      <c r="B34" s="61" t="str">
        <f t="shared" ref="B34:B65" si="2">MID(A34,6,4)</f>
        <v>2008</v>
      </c>
      <c r="C34" s="84">
        <v>17871</v>
      </c>
      <c r="D34" s="63">
        <v>2008</v>
      </c>
      <c r="E34" s="61">
        <v>33</v>
      </c>
      <c r="F34" s="96">
        <v>1.0311404366997561</v>
      </c>
      <c r="G34" s="50">
        <f t="shared" si="1"/>
        <v>17331.295877792847</v>
      </c>
    </row>
    <row r="35" spans="1:7" x14ac:dyDescent="0.35">
      <c r="A35" s="60" t="s">
        <v>31</v>
      </c>
      <c r="B35" s="61" t="str">
        <f t="shared" si="2"/>
        <v>2008</v>
      </c>
      <c r="C35" s="84">
        <v>17038</v>
      </c>
      <c r="D35" s="63">
        <v>2008</v>
      </c>
      <c r="E35" s="61">
        <v>34</v>
      </c>
      <c r="F35" s="96">
        <v>0.99647151229008235</v>
      </c>
      <c r="G35" s="50">
        <f t="shared" si="1"/>
        <v>17098.331251681659</v>
      </c>
    </row>
    <row r="36" spans="1:7" x14ac:dyDescent="0.35">
      <c r="A36" s="60" t="s">
        <v>32</v>
      </c>
      <c r="B36" s="61" t="str">
        <f t="shared" si="2"/>
        <v>2008</v>
      </c>
      <c r="C36" s="84">
        <v>17413</v>
      </c>
      <c r="D36" s="63">
        <v>2008</v>
      </c>
      <c r="E36" s="61">
        <v>35</v>
      </c>
      <c r="F36" s="96">
        <v>0.99924985141460465</v>
      </c>
      <c r="G36" s="50">
        <f t="shared" si="1"/>
        <v>17426.072143367343</v>
      </c>
    </row>
    <row r="37" spans="1:7" x14ac:dyDescent="0.35">
      <c r="A37" s="60" t="s">
        <v>33</v>
      </c>
      <c r="B37" s="61" t="str">
        <f t="shared" si="2"/>
        <v>2008</v>
      </c>
      <c r="C37" s="84">
        <v>17200</v>
      </c>
      <c r="D37" s="63">
        <v>2008</v>
      </c>
      <c r="E37" s="61">
        <v>36</v>
      </c>
      <c r="F37" s="96">
        <v>1.0121735261994504</v>
      </c>
      <c r="G37" s="50">
        <f t="shared" si="1"/>
        <v>16993.133642393561</v>
      </c>
    </row>
    <row r="38" spans="1:7" x14ac:dyDescent="0.35">
      <c r="A38" s="60" t="s">
        <v>34</v>
      </c>
      <c r="B38" s="61" t="str">
        <f t="shared" si="2"/>
        <v>2008</v>
      </c>
      <c r="C38" s="84">
        <v>17176</v>
      </c>
      <c r="D38" s="63">
        <v>2008</v>
      </c>
      <c r="E38" s="61">
        <v>37</v>
      </c>
      <c r="F38" s="96">
        <v>0.98079097156469441</v>
      </c>
      <c r="G38" s="50">
        <f t="shared" si="1"/>
        <v>17512.396114942261</v>
      </c>
    </row>
    <row r="39" spans="1:7" x14ac:dyDescent="0.35">
      <c r="A39" s="60" t="s">
        <v>35</v>
      </c>
      <c r="B39" s="61" t="str">
        <f t="shared" si="2"/>
        <v>2008</v>
      </c>
      <c r="C39" s="84">
        <v>18019</v>
      </c>
      <c r="D39" s="63">
        <v>2008</v>
      </c>
      <c r="E39" s="61">
        <v>38</v>
      </c>
      <c r="F39" s="96">
        <v>1.0323394347969677</v>
      </c>
      <c r="G39" s="50">
        <f t="shared" si="1"/>
        <v>17454.530353714363</v>
      </c>
    </row>
    <row r="40" spans="1:7" x14ac:dyDescent="0.35">
      <c r="A40" s="60" t="s">
        <v>36</v>
      </c>
      <c r="B40" s="61" t="str">
        <f t="shared" si="2"/>
        <v>2008</v>
      </c>
      <c r="C40" s="84">
        <v>16975</v>
      </c>
      <c r="D40" s="63">
        <v>2008</v>
      </c>
      <c r="E40" s="61">
        <v>39</v>
      </c>
      <c r="F40" s="96">
        <v>0.9922802514367296</v>
      </c>
      <c r="G40" s="50">
        <f t="shared" si="1"/>
        <v>17107.062218986801</v>
      </c>
    </row>
    <row r="41" spans="1:7" x14ac:dyDescent="0.35">
      <c r="A41" s="60" t="s">
        <v>37</v>
      </c>
      <c r="B41" s="61" t="str">
        <f t="shared" si="2"/>
        <v>2008</v>
      </c>
      <c r="C41" s="84">
        <v>19653</v>
      </c>
      <c r="D41" s="63">
        <v>2008</v>
      </c>
      <c r="E41" s="61">
        <v>40</v>
      </c>
      <c r="F41" s="96">
        <v>1.1073678838309451</v>
      </c>
      <c r="G41" s="50">
        <f t="shared" si="1"/>
        <v>17747.489598497603</v>
      </c>
    </row>
    <row r="42" spans="1:7" x14ac:dyDescent="0.35">
      <c r="A42" s="60" t="s">
        <v>38</v>
      </c>
      <c r="B42" s="61" t="str">
        <f t="shared" si="2"/>
        <v>2009</v>
      </c>
      <c r="C42" s="84">
        <v>17741</v>
      </c>
      <c r="D42" s="63">
        <v>2009</v>
      </c>
      <c r="E42" s="61">
        <v>41</v>
      </c>
      <c r="F42" s="96">
        <v>1.0234185080278571</v>
      </c>
      <c r="G42" s="50">
        <f t="shared" si="1"/>
        <v>17335.039244294276</v>
      </c>
    </row>
    <row r="43" spans="1:7" x14ac:dyDescent="0.35">
      <c r="A43" s="60" t="s">
        <v>39</v>
      </c>
      <c r="B43" s="61" t="str">
        <f t="shared" si="2"/>
        <v>2009</v>
      </c>
      <c r="C43" s="84">
        <v>17028</v>
      </c>
      <c r="D43" s="63">
        <v>2009</v>
      </c>
      <c r="E43" s="61">
        <v>42</v>
      </c>
      <c r="F43" s="96">
        <v>0.96778361364008814</v>
      </c>
      <c r="G43" s="50">
        <f t="shared" si="1"/>
        <v>17594.842235397253</v>
      </c>
    </row>
    <row r="44" spans="1:7" x14ac:dyDescent="0.35">
      <c r="A44" s="60" t="s">
        <v>40</v>
      </c>
      <c r="B44" s="61" t="str">
        <f t="shared" si="2"/>
        <v>2009</v>
      </c>
      <c r="C44" s="84">
        <v>18501</v>
      </c>
      <c r="D44" s="63">
        <v>2009</v>
      </c>
      <c r="E44" s="61">
        <v>43</v>
      </c>
      <c r="F44" s="96">
        <v>1.0471910079749045</v>
      </c>
      <c r="G44" s="50">
        <f t="shared" si="1"/>
        <v>17667.264003515364</v>
      </c>
    </row>
    <row r="45" spans="1:7" x14ac:dyDescent="0.35">
      <c r="A45" s="60" t="s">
        <v>41</v>
      </c>
      <c r="B45" s="61" t="str">
        <f t="shared" si="2"/>
        <v>2009</v>
      </c>
      <c r="C45" s="84">
        <v>18226</v>
      </c>
      <c r="D45" s="63">
        <v>2009</v>
      </c>
      <c r="E45" s="61">
        <v>44</v>
      </c>
      <c r="F45" s="96">
        <v>1.0057927338780821</v>
      </c>
      <c r="G45" s="50">
        <f t="shared" si="1"/>
        <v>18121.029697366335</v>
      </c>
    </row>
    <row r="46" spans="1:7" x14ac:dyDescent="0.35">
      <c r="A46" s="60" t="s">
        <v>180</v>
      </c>
      <c r="B46" s="61" t="str">
        <f t="shared" si="2"/>
        <v>2009</v>
      </c>
      <c r="C46" s="84">
        <v>18146</v>
      </c>
      <c r="D46" s="63">
        <v>2009</v>
      </c>
      <c r="E46" s="61">
        <v>45</v>
      </c>
      <c r="F46" s="96">
        <v>1.0311404366997561</v>
      </c>
      <c r="G46" s="50">
        <f t="shared" si="1"/>
        <v>17597.990878989931</v>
      </c>
    </row>
    <row r="47" spans="1:7" x14ac:dyDescent="0.35">
      <c r="A47" s="60" t="s">
        <v>42</v>
      </c>
      <c r="B47" s="61" t="str">
        <f t="shared" si="2"/>
        <v>2009</v>
      </c>
      <c r="C47" s="84">
        <v>17944</v>
      </c>
      <c r="D47" s="63">
        <v>2009</v>
      </c>
      <c r="E47" s="61">
        <v>46</v>
      </c>
      <c r="F47" s="96">
        <v>0.99647151229008235</v>
      </c>
      <c r="G47" s="50">
        <f t="shared" si="1"/>
        <v>18007.539381393104</v>
      </c>
    </row>
    <row r="48" spans="1:7" x14ac:dyDescent="0.35">
      <c r="A48" s="60" t="s">
        <v>43</v>
      </c>
      <c r="B48" s="61" t="str">
        <f t="shared" si="2"/>
        <v>2009</v>
      </c>
      <c r="C48" s="84">
        <v>17957</v>
      </c>
      <c r="D48" s="63">
        <v>2009</v>
      </c>
      <c r="E48" s="61">
        <v>47</v>
      </c>
      <c r="F48" s="96">
        <v>0.99924985141460465</v>
      </c>
      <c r="G48" s="50">
        <f t="shared" si="1"/>
        <v>17970.480530548866</v>
      </c>
    </row>
    <row r="49" spans="1:7" x14ac:dyDescent="0.35">
      <c r="A49" s="60" t="s">
        <v>44</v>
      </c>
      <c r="B49" s="61" t="str">
        <f t="shared" si="2"/>
        <v>2009</v>
      </c>
      <c r="C49" s="84">
        <v>17604</v>
      </c>
      <c r="D49" s="63">
        <v>2009</v>
      </c>
      <c r="E49" s="61">
        <v>48</v>
      </c>
      <c r="F49" s="96">
        <v>1.0121735261994504</v>
      </c>
      <c r="G49" s="50">
        <f t="shared" si="1"/>
        <v>17392.27468841257</v>
      </c>
    </row>
    <row r="50" spans="1:7" x14ac:dyDescent="0.35">
      <c r="A50" s="60" t="s">
        <v>45</v>
      </c>
      <c r="B50" s="61" t="str">
        <f t="shared" si="2"/>
        <v>2009</v>
      </c>
      <c r="C50" s="84">
        <v>17770</v>
      </c>
      <c r="D50" s="63">
        <v>2009</v>
      </c>
      <c r="E50" s="61">
        <v>49</v>
      </c>
      <c r="F50" s="96">
        <v>0.98079097156469441</v>
      </c>
      <c r="G50" s="50">
        <f t="shared" si="1"/>
        <v>18118.029748633209</v>
      </c>
    </row>
    <row r="51" spans="1:7" x14ac:dyDescent="0.35">
      <c r="A51" s="60" t="s">
        <v>46</v>
      </c>
      <c r="B51" s="61" t="str">
        <f t="shared" si="2"/>
        <v>2009</v>
      </c>
      <c r="C51" s="84">
        <v>18492</v>
      </c>
      <c r="D51" s="63">
        <v>2009</v>
      </c>
      <c r="E51" s="61">
        <v>50</v>
      </c>
      <c r="F51" s="96">
        <v>1.0323394347969677</v>
      </c>
      <c r="G51" s="50">
        <f t="shared" si="1"/>
        <v>17912.712986341416</v>
      </c>
    </row>
    <row r="52" spans="1:7" x14ac:dyDescent="0.35">
      <c r="A52" s="60" t="s">
        <v>47</v>
      </c>
      <c r="B52" s="61" t="str">
        <f t="shared" si="2"/>
        <v>2009</v>
      </c>
      <c r="C52" s="84">
        <v>17784</v>
      </c>
      <c r="D52" s="63">
        <v>2009</v>
      </c>
      <c r="E52" s="61">
        <v>51</v>
      </c>
      <c r="F52" s="96">
        <v>0.9922802514367296</v>
      </c>
      <c r="G52" s="50">
        <f t="shared" si="1"/>
        <v>17922.356082619219</v>
      </c>
    </row>
    <row r="53" spans="1:7" x14ac:dyDescent="0.35">
      <c r="A53" s="60" t="s">
        <v>48</v>
      </c>
      <c r="B53" s="61" t="str">
        <f t="shared" si="2"/>
        <v>2009</v>
      </c>
      <c r="C53" s="84">
        <v>20067</v>
      </c>
      <c r="D53" s="63">
        <v>2009</v>
      </c>
      <c r="E53" s="61">
        <v>52</v>
      </c>
      <c r="F53" s="96">
        <v>1.1073678838309451</v>
      </c>
      <c r="G53" s="50">
        <f t="shared" si="1"/>
        <v>18121.34909545878</v>
      </c>
    </row>
    <row r="54" spans="1:7" x14ac:dyDescent="0.35">
      <c r="A54" s="65" t="s">
        <v>49</v>
      </c>
      <c r="B54" s="61" t="str">
        <f t="shared" si="2"/>
        <v>2010</v>
      </c>
      <c r="C54" s="85">
        <v>17874</v>
      </c>
      <c r="D54" s="63">
        <v>2010</v>
      </c>
      <c r="E54" s="61">
        <v>53</v>
      </c>
      <c r="F54" s="96">
        <v>1.0234185080278571</v>
      </c>
      <c r="G54" s="50">
        <f t="shared" si="1"/>
        <v>17464.995854377765</v>
      </c>
    </row>
    <row r="55" spans="1:7" x14ac:dyDescent="0.35">
      <c r="A55" s="65" t="s">
        <v>50</v>
      </c>
      <c r="B55" s="61" t="str">
        <f t="shared" si="2"/>
        <v>2010</v>
      </c>
      <c r="C55" s="85">
        <v>17171</v>
      </c>
      <c r="D55" s="63">
        <v>2010</v>
      </c>
      <c r="E55" s="61">
        <v>54</v>
      </c>
      <c r="F55" s="96">
        <v>0.96778361364008814</v>
      </c>
      <c r="G55" s="50">
        <f t="shared" si="1"/>
        <v>17742.602538407697</v>
      </c>
    </row>
    <row r="56" spans="1:7" x14ac:dyDescent="0.35">
      <c r="A56" s="65" t="s">
        <v>51</v>
      </c>
      <c r="B56" s="61" t="str">
        <f t="shared" si="2"/>
        <v>2010</v>
      </c>
      <c r="C56" s="85">
        <v>19214</v>
      </c>
      <c r="D56" s="63">
        <v>2010</v>
      </c>
      <c r="E56" s="61">
        <v>55</v>
      </c>
      <c r="F56" s="96">
        <v>1.0471910079749045</v>
      </c>
      <c r="G56" s="50">
        <f t="shared" si="1"/>
        <v>18348.1331043481</v>
      </c>
    </row>
    <row r="57" spans="1:7" x14ac:dyDescent="0.35">
      <c r="A57" s="65" t="s">
        <v>52</v>
      </c>
      <c r="B57" s="61" t="str">
        <f t="shared" si="2"/>
        <v>2010</v>
      </c>
      <c r="C57" s="85">
        <v>18340</v>
      </c>
      <c r="D57" s="63">
        <v>2010</v>
      </c>
      <c r="E57" s="61">
        <v>56</v>
      </c>
      <c r="F57" s="96">
        <v>1.0057927338780821</v>
      </c>
      <c r="G57" s="50">
        <f t="shared" si="1"/>
        <v>18234.373129029878</v>
      </c>
    </row>
    <row r="58" spans="1:7" x14ac:dyDescent="0.35">
      <c r="A58" s="67" t="s">
        <v>181</v>
      </c>
      <c r="B58" s="61" t="str">
        <f t="shared" si="2"/>
        <v>2010</v>
      </c>
      <c r="C58" s="85">
        <v>18295</v>
      </c>
      <c r="D58" s="63">
        <v>2010</v>
      </c>
      <c r="E58" s="61">
        <v>57</v>
      </c>
      <c r="F58" s="96">
        <v>1.0311404366997561</v>
      </c>
      <c r="G58" s="50">
        <f t="shared" si="1"/>
        <v>17742.49107963853</v>
      </c>
    </row>
    <row r="59" spans="1:7" x14ac:dyDescent="0.35">
      <c r="A59" s="65" t="s">
        <v>53</v>
      </c>
      <c r="B59" s="61" t="str">
        <f t="shared" si="2"/>
        <v>2010</v>
      </c>
      <c r="C59" s="85">
        <v>18372</v>
      </c>
      <c r="D59" s="63">
        <v>2010</v>
      </c>
      <c r="E59" s="61">
        <v>58</v>
      </c>
      <c r="F59" s="96">
        <v>0.99647151229008235</v>
      </c>
      <c r="G59" s="50">
        <f t="shared" si="1"/>
        <v>18437.054921698291</v>
      </c>
    </row>
    <row r="60" spans="1:7" x14ac:dyDescent="0.35">
      <c r="A60" s="65" t="s">
        <v>54</v>
      </c>
      <c r="B60" s="61" t="str">
        <f t="shared" si="2"/>
        <v>2010</v>
      </c>
      <c r="C60" s="85">
        <v>18170</v>
      </c>
      <c r="D60" s="63">
        <v>2010</v>
      </c>
      <c r="E60" s="61">
        <v>59</v>
      </c>
      <c r="F60" s="96">
        <v>0.99924985141460465</v>
      </c>
      <c r="G60" s="50">
        <f t="shared" si="1"/>
        <v>18183.640432147513</v>
      </c>
    </row>
    <row r="61" spans="1:7" x14ac:dyDescent="0.35">
      <c r="A61" s="65" t="s">
        <v>55</v>
      </c>
      <c r="B61" s="61" t="str">
        <f t="shared" si="2"/>
        <v>2010</v>
      </c>
      <c r="C61" s="85">
        <v>18328</v>
      </c>
      <c r="D61" s="63">
        <v>2010</v>
      </c>
      <c r="E61" s="61">
        <v>60</v>
      </c>
      <c r="F61" s="96">
        <v>1.0121735261994504</v>
      </c>
      <c r="G61" s="50">
        <f t="shared" si="1"/>
        <v>18107.567058010998</v>
      </c>
    </row>
    <row r="62" spans="1:7" x14ac:dyDescent="0.35">
      <c r="A62" s="65" t="s">
        <v>56</v>
      </c>
      <c r="B62" s="61" t="str">
        <f t="shared" si="2"/>
        <v>2010</v>
      </c>
      <c r="C62" s="85">
        <v>18124</v>
      </c>
      <c r="D62" s="63">
        <v>2010</v>
      </c>
      <c r="E62" s="61">
        <v>61</v>
      </c>
      <c r="F62" s="96">
        <v>0.98079097156469441</v>
      </c>
      <c r="G62" s="50">
        <f t="shared" si="1"/>
        <v>18478.962924267205</v>
      </c>
    </row>
    <row r="63" spans="1:7" x14ac:dyDescent="0.35">
      <c r="A63" s="65" t="s">
        <v>57</v>
      </c>
      <c r="B63" s="61" t="str">
        <f t="shared" si="2"/>
        <v>2010</v>
      </c>
      <c r="C63" s="85">
        <v>18611</v>
      </c>
      <c r="D63" s="63">
        <v>2010</v>
      </c>
      <c r="E63" s="61">
        <v>62</v>
      </c>
      <c r="F63" s="96">
        <v>1.0323394347969677</v>
      </c>
      <c r="G63" s="50">
        <f t="shared" si="1"/>
        <v>18027.985149729619</v>
      </c>
    </row>
    <row r="64" spans="1:7" x14ac:dyDescent="0.35">
      <c r="A64" s="65" t="s">
        <v>58</v>
      </c>
      <c r="B64" s="61" t="str">
        <f t="shared" si="2"/>
        <v>2010</v>
      </c>
      <c r="C64" s="85">
        <v>18724</v>
      </c>
      <c r="D64" s="63">
        <v>2010</v>
      </c>
      <c r="E64" s="61">
        <v>63</v>
      </c>
      <c r="F64" s="96">
        <v>0.9922802514367296</v>
      </c>
      <c r="G64" s="50">
        <f t="shared" si="1"/>
        <v>18869.669100931304</v>
      </c>
    </row>
    <row r="65" spans="1:7" x14ac:dyDescent="0.35">
      <c r="A65" s="65" t="s">
        <v>59</v>
      </c>
      <c r="B65" s="61" t="str">
        <f t="shared" si="2"/>
        <v>2010</v>
      </c>
      <c r="C65" s="85">
        <v>21007</v>
      </c>
      <c r="D65" s="63">
        <v>2010</v>
      </c>
      <c r="E65" s="61">
        <v>64</v>
      </c>
      <c r="F65" s="96">
        <v>1.1073678838309451</v>
      </c>
      <c r="G65" s="50">
        <f t="shared" si="1"/>
        <v>18970.208822858553</v>
      </c>
    </row>
    <row r="66" spans="1:7" x14ac:dyDescent="0.35">
      <c r="A66" s="65" t="s">
        <v>60</v>
      </c>
      <c r="B66" s="61" t="str">
        <f t="shared" ref="B66:B97" si="3">MID(A66,6,4)</f>
        <v>2011</v>
      </c>
      <c r="C66" s="85">
        <v>19155</v>
      </c>
      <c r="D66" s="63">
        <v>2011</v>
      </c>
      <c r="E66" s="61">
        <v>65</v>
      </c>
      <c r="F66" s="96">
        <v>1.0234185080278571</v>
      </c>
      <c r="G66" s="50">
        <f t="shared" si="1"/>
        <v>18716.683204129244</v>
      </c>
    </row>
    <row r="67" spans="1:7" x14ac:dyDescent="0.35">
      <c r="A67" s="65" t="s">
        <v>61</v>
      </c>
      <c r="B67" s="61" t="str">
        <f t="shared" si="3"/>
        <v>2011</v>
      </c>
      <c r="C67" s="85">
        <v>18117</v>
      </c>
      <c r="D67" s="63">
        <v>2011</v>
      </c>
      <c r="E67" s="61">
        <v>66</v>
      </c>
      <c r="F67" s="96">
        <v>0.96778361364008814</v>
      </c>
      <c r="G67" s="50">
        <f t="shared" ref="G67:G130" si="4">C67/F67</f>
        <v>18720.093773707544</v>
      </c>
    </row>
    <row r="68" spans="1:7" x14ac:dyDescent="0.35">
      <c r="A68" s="65" t="s">
        <v>62</v>
      </c>
      <c r="B68" s="61" t="str">
        <f t="shared" si="3"/>
        <v>2011</v>
      </c>
      <c r="C68" s="85">
        <v>20042</v>
      </c>
      <c r="D68" s="63">
        <v>2011</v>
      </c>
      <c r="E68" s="61">
        <v>67</v>
      </c>
      <c r="F68" s="96">
        <v>1.0471910079749045</v>
      </c>
      <c r="G68" s="50">
        <f t="shared" si="4"/>
        <v>19138.819802089343</v>
      </c>
    </row>
    <row r="69" spans="1:7" x14ac:dyDescent="0.35">
      <c r="A69" s="65" t="s">
        <v>63</v>
      </c>
      <c r="B69" s="61" t="str">
        <f t="shared" si="3"/>
        <v>2011</v>
      </c>
      <c r="C69" s="85">
        <v>18944</v>
      </c>
      <c r="D69" s="63">
        <v>2011</v>
      </c>
      <c r="E69" s="61">
        <v>68</v>
      </c>
      <c r="F69" s="96">
        <v>1.0057927338780821</v>
      </c>
      <c r="G69" s="50">
        <f t="shared" si="4"/>
        <v>18834.89446872094</v>
      </c>
    </row>
    <row r="70" spans="1:7" x14ac:dyDescent="0.35">
      <c r="A70" s="67" t="s">
        <v>182</v>
      </c>
      <c r="B70" s="61" t="str">
        <f t="shared" si="3"/>
        <v>2011</v>
      </c>
      <c r="C70" s="85">
        <v>19505</v>
      </c>
      <c r="D70" s="63">
        <v>2011</v>
      </c>
      <c r="E70" s="61">
        <v>69</v>
      </c>
      <c r="F70" s="96">
        <v>1.0311404366997561</v>
      </c>
      <c r="G70" s="50">
        <f t="shared" si="4"/>
        <v>18915.949084905686</v>
      </c>
    </row>
    <row r="71" spans="1:7" x14ac:dyDescent="0.35">
      <c r="A71" s="65" t="s">
        <v>64</v>
      </c>
      <c r="B71" s="61" t="str">
        <f t="shared" si="3"/>
        <v>2011</v>
      </c>
      <c r="C71" s="85">
        <v>19081</v>
      </c>
      <c r="D71" s="63">
        <v>2011</v>
      </c>
      <c r="E71" s="61">
        <v>70</v>
      </c>
      <c r="F71" s="96">
        <v>0.99647151229008235</v>
      </c>
      <c r="G71" s="50">
        <f t="shared" si="4"/>
        <v>19148.565477951506</v>
      </c>
    </row>
    <row r="72" spans="1:7" x14ac:dyDescent="0.35">
      <c r="A72" s="65" t="s">
        <v>65</v>
      </c>
      <c r="B72" s="61" t="str">
        <f t="shared" si="3"/>
        <v>2011</v>
      </c>
      <c r="C72" s="85">
        <v>18541</v>
      </c>
      <c r="D72" s="63">
        <v>2011</v>
      </c>
      <c r="E72" s="61">
        <v>71</v>
      </c>
      <c r="F72" s="96">
        <v>0.99924985141460465</v>
      </c>
      <c r="G72" s="50">
        <f t="shared" si="4"/>
        <v>18554.918946199617</v>
      </c>
    </row>
    <row r="73" spans="1:7" x14ac:dyDescent="0.35">
      <c r="A73" s="65" t="s">
        <v>66</v>
      </c>
      <c r="B73" s="61" t="str">
        <f t="shared" si="3"/>
        <v>2011</v>
      </c>
      <c r="C73" s="85">
        <v>19481</v>
      </c>
      <c r="D73" s="63">
        <v>2011</v>
      </c>
      <c r="E73" s="61">
        <v>72</v>
      </c>
      <c r="F73" s="96">
        <v>1.0121735261994504</v>
      </c>
      <c r="G73" s="50">
        <f t="shared" si="4"/>
        <v>19246.699795783075</v>
      </c>
    </row>
    <row r="74" spans="1:7" x14ac:dyDescent="0.35">
      <c r="A74" s="65" t="s">
        <v>67</v>
      </c>
      <c r="B74" s="61" t="str">
        <f t="shared" si="3"/>
        <v>2011</v>
      </c>
      <c r="C74" s="85">
        <v>18845</v>
      </c>
      <c r="D74" s="63">
        <v>2011</v>
      </c>
      <c r="E74" s="61">
        <v>73</v>
      </c>
      <c r="F74" s="96">
        <v>0.98079097156469441</v>
      </c>
      <c r="G74" s="50">
        <f t="shared" si="4"/>
        <v>19214.083883679956</v>
      </c>
    </row>
    <row r="75" spans="1:7" x14ac:dyDescent="0.35">
      <c r="A75" s="65" t="s">
        <v>68</v>
      </c>
      <c r="B75" s="61" t="str">
        <f t="shared" si="3"/>
        <v>2011</v>
      </c>
      <c r="C75" s="85">
        <v>19302</v>
      </c>
      <c r="D75" s="63">
        <v>2011</v>
      </c>
      <c r="E75" s="61">
        <v>74</v>
      </c>
      <c r="F75" s="96">
        <v>1.0323394347969677</v>
      </c>
      <c r="G75" s="50">
        <f t="shared" si="4"/>
        <v>18697.338636294724</v>
      </c>
    </row>
    <row r="76" spans="1:7" x14ac:dyDescent="0.35">
      <c r="A76" s="65" t="s">
        <v>69</v>
      </c>
      <c r="B76" s="61" t="str">
        <f t="shared" si="3"/>
        <v>2011</v>
      </c>
      <c r="C76" s="85">
        <v>19103</v>
      </c>
      <c r="D76" s="63">
        <v>2011</v>
      </c>
      <c r="E76" s="61">
        <v>75</v>
      </c>
      <c r="F76" s="96">
        <v>0.9922802514367296</v>
      </c>
      <c r="G76" s="50">
        <f t="shared" si="4"/>
        <v>19251.617647676281</v>
      </c>
    </row>
    <row r="77" spans="1:7" x14ac:dyDescent="0.35">
      <c r="A77" s="65" t="s">
        <v>70</v>
      </c>
      <c r="B77" s="61" t="str">
        <f t="shared" si="3"/>
        <v>2011</v>
      </c>
      <c r="C77" s="85">
        <v>21133</v>
      </c>
      <c r="D77" s="63">
        <v>2011</v>
      </c>
      <c r="E77" s="61">
        <v>76</v>
      </c>
      <c r="F77" s="96">
        <v>1.1073678838309451</v>
      </c>
      <c r="G77" s="50">
        <f t="shared" si="4"/>
        <v>19083.99214802065</v>
      </c>
    </row>
    <row r="78" spans="1:7" x14ac:dyDescent="0.35">
      <c r="A78" s="65" t="s">
        <v>71</v>
      </c>
      <c r="B78" s="61" t="str">
        <f t="shared" si="3"/>
        <v>2012</v>
      </c>
      <c r="C78" s="85">
        <v>19401</v>
      </c>
      <c r="D78" s="63">
        <v>2012</v>
      </c>
      <c r="E78" s="61">
        <v>77</v>
      </c>
      <c r="F78" s="96">
        <v>1.0234185080278571</v>
      </c>
      <c r="G78" s="50">
        <f t="shared" si="4"/>
        <v>18957.054076915239</v>
      </c>
    </row>
    <row r="79" spans="1:7" x14ac:dyDescent="0.35">
      <c r="A79" s="65" t="s">
        <v>72</v>
      </c>
      <c r="B79" s="61" t="str">
        <f t="shared" si="3"/>
        <v>2012</v>
      </c>
      <c r="C79" s="85">
        <v>19056</v>
      </c>
      <c r="D79" s="63">
        <v>2012</v>
      </c>
      <c r="E79" s="61">
        <v>78</v>
      </c>
      <c r="F79" s="96">
        <v>0.96778361364008814</v>
      </c>
      <c r="G79" s="50">
        <f t="shared" si="4"/>
        <v>19690.351987181704</v>
      </c>
    </row>
    <row r="80" spans="1:7" x14ac:dyDescent="0.35">
      <c r="A80" s="65" t="s">
        <v>73</v>
      </c>
      <c r="B80" s="61" t="str">
        <f t="shared" si="3"/>
        <v>2012</v>
      </c>
      <c r="C80" s="85">
        <v>19943</v>
      </c>
      <c r="D80" s="63">
        <v>2012</v>
      </c>
      <c r="E80" s="61">
        <v>79</v>
      </c>
      <c r="F80" s="96">
        <v>1.0471910079749045</v>
      </c>
      <c r="G80" s="50">
        <f t="shared" si="4"/>
        <v>19044.281175185497</v>
      </c>
    </row>
    <row r="81" spans="1:7" x14ac:dyDescent="0.35">
      <c r="A81" s="65" t="s">
        <v>74</v>
      </c>
      <c r="B81" s="61" t="str">
        <f t="shared" si="3"/>
        <v>2012</v>
      </c>
      <c r="C81" s="85">
        <v>19050</v>
      </c>
      <c r="D81" s="63">
        <v>2012</v>
      </c>
      <c r="E81" s="61">
        <v>80</v>
      </c>
      <c r="F81" s="96">
        <v>1.0057927338780821</v>
      </c>
      <c r="G81" s="50">
        <f t="shared" si="4"/>
        <v>18940.283975355462</v>
      </c>
    </row>
    <row r="82" spans="1:7" x14ac:dyDescent="0.35">
      <c r="A82" s="67" t="s">
        <v>183</v>
      </c>
      <c r="B82" s="61" t="str">
        <f t="shared" si="3"/>
        <v>2012</v>
      </c>
      <c r="C82" s="85">
        <v>19701</v>
      </c>
      <c r="D82" s="63">
        <v>2012</v>
      </c>
      <c r="E82" s="61">
        <v>81</v>
      </c>
      <c r="F82" s="96">
        <v>1.0311404366997561</v>
      </c>
      <c r="G82" s="50">
        <f t="shared" si="4"/>
        <v>19106.029885758879</v>
      </c>
    </row>
    <row r="83" spans="1:7" x14ac:dyDescent="0.35">
      <c r="A83" s="65" t="s">
        <v>75</v>
      </c>
      <c r="B83" s="61" t="str">
        <f t="shared" si="3"/>
        <v>2012</v>
      </c>
      <c r="C83" s="85">
        <v>18426</v>
      </c>
      <c r="D83" s="63">
        <v>2012</v>
      </c>
      <c r="E83" s="61">
        <v>82</v>
      </c>
      <c r="F83" s="96">
        <v>0.99647151229008235</v>
      </c>
      <c r="G83" s="50">
        <f t="shared" si="4"/>
        <v>18491.246134727447</v>
      </c>
    </row>
    <row r="84" spans="1:7" x14ac:dyDescent="0.35">
      <c r="A84" s="65" t="s">
        <v>76</v>
      </c>
      <c r="B84" s="61" t="str">
        <f t="shared" si="3"/>
        <v>2012</v>
      </c>
      <c r="C84" s="85">
        <v>18559</v>
      </c>
      <c r="D84" s="63">
        <v>2012</v>
      </c>
      <c r="E84" s="61">
        <v>83</v>
      </c>
      <c r="F84" s="96">
        <v>0.99924985141460465</v>
      </c>
      <c r="G84" s="50">
        <f t="shared" si="4"/>
        <v>18572.932459010772</v>
      </c>
    </row>
    <row r="85" spans="1:7" x14ac:dyDescent="0.35">
      <c r="A85" s="65" t="s">
        <v>77</v>
      </c>
      <c r="B85" s="61" t="str">
        <f t="shared" si="3"/>
        <v>2012</v>
      </c>
      <c r="C85" s="85">
        <v>19168</v>
      </c>
      <c r="D85" s="63">
        <v>2012</v>
      </c>
      <c r="E85" s="61">
        <v>84</v>
      </c>
      <c r="F85" s="96">
        <v>1.0121735261994504</v>
      </c>
      <c r="G85" s="50">
        <f t="shared" si="4"/>
        <v>18937.464282406963</v>
      </c>
    </row>
    <row r="86" spans="1:7" x14ac:dyDescent="0.35">
      <c r="A86" s="65" t="s">
        <v>78</v>
      </c>
      <c r="B86" s="61" t="str">
        <f t="shared" si="3"/>
        <v>2012</v>
      </c>
      <c r="C86" s="85">
        <v>17847</v>
      </c>
      <c r="D86" s="63">
        <v>2012</v>
      </c>
      <c r="E86" s="61">
        <v>85</v>
      </c>
      <c r="F86" s="96">
        <v>0.98079097156469441</v>
      </c>
      <c r="G86" s="50">
        <f t="shared" si="4"/>
        <v>18196.537812259812</v>
      </c>
    </row>
    <row r="87" spans="1:7" x14ac:dyDescent="0.35">
      <c r="A87" s="65" t="s">
        <v>79</v>
      </c>
      <c r="B87" s="61" t="str">
        <f t="shared" si="3"/>
        <v>2012</v>
      </c>
      <c r="C87" s="85">
        <v>19468</v>
      </c>
      <c r="D87" s="63">
        <v>2012</v>
      </c>
      <c r="E87" s="61">
        <v>86</v>
      </c>
      <c r="F87" s="96">
        <v>1.0323394347969677</v>
      </c>
      <c r="G87" s="50">
        <f t="shared" si="4"/>
        <v>18858.138460853053</v>
      </c>
    </row>
    <row r="88" spans="1:7" x14ac:dyDescent="0.35">
      <c r="A88" s="65" t="s">
        <v>80</v>
      </c>
      <c r="B88" s="61" t="str">
        <f t="shared" si="3"/>
        <v>2012</v>
      </c>
      <c r="C88" s="85">
        <v>18700</v>
      </c>
      <c r="D88" s="63">
        <v>2012</v>
      </c>
      <c r="E88" s="61">
        <v>87</v>
      </c>
      <c r="F88" s="96">
        <v>0.9922802514367296</v>
      </c>
      <c r="G88" s="50">
        <f t="shared" si="4"/>
        <v>18845.482385570143</v>
      </c>
    </row>
    <row r="89" spans="1:7" x14ac:dyDescent="0.35">
      <c r="A89" s="65" t="s">
        <v>81</v>
      </c>
      <c r="B89" s="61" t="str">
        <f t="shared" si="3"/>
        <v>2012</v>
      </c>
      <c r="C89" s="85">
        <v>20632</v>
      </c>
      <c r="D89" s="63">
        <v>2012</v>
      </c>
      <c r="E89" s="61">
        <v>88</v>
      </c>
      <c r="F89" s="96">
        <v>1.1073678838309451</v>
      </c>
      <c r="G89" s="50">
        <f t="shared" si="4"/>
        <v>18631.567974161837</v>
      </c>
    </row>
    <row r="90" spans="1:7" x14ac:dyDescent="0.35">
      <c r="A90" s="68" t="s">
        <v>82</v>
      </c>
      <c r="B90" s="61" t="str">
        <f t="shared" si="3"/>
        <v>2013</v>
      </c>
      <c r="C90" s="86">
        <v>19826</v>
      </c>
      <c r="D90" s="63">
        <v>2013</v>
      </c>
      <c r="E90" s="61">
        <v>89</v>
      </c>
      <c r="F90" s="96">
        <v>1.0234185080278571</v>
      </c>
      <c r="G90" s="50">
        <f t="shared" si="4"/>
        <v>19372.328958760969</v>
      </c>
    </row>
    <row r="91" spans="1:7" x14ac:dyDescent="0.35">
      <c r="A91" s="68" t="s">
        <v>83</v>
      </c>
      <c r="B91" s="61" t="str">
        <f t="shared" si="3"/>
        <v>2013</v>
      </c>
      <c r="C91" s="86">
        <v>18221</v>
      </c>
      <c r="D91" s="63">
        <v>2013</v>
      </c>
      <c r="E91" s="61">
        <v>90</v>
      </c>
      <c r="F91" s="96">
        <v>0.96778361364008814</v>
      </c>
      <c r="G91" s="50">
        <f t="shared" si="4"/>
        <v>18827.555812260591</v>
      </c>
    </row>
    <row r="92" spans="1:7" x14ac:dyDescent="0.35">
      <c r="A92" s="68" t="s">
        <v>84</v>
      </c>
      <c r="B92" s="61" t="str">
        <f t="shared" si="3"/>
        <v>2013</v>
      </c>
      <c r="C92" s="86">
        <v>19625</v>
      </c>
      <c r="D92" s="63">
        <v>2013</v>
      </c>
      <c r="E92" s="61">
        <v>91</v>
      </c>
      <c r="F92" s="96">
        <v>1.0471910079749045</v>
      </c>
      <c r="G92" s="50">
        <f t="shared" si="4"/>
        <v>18740.611646342848</v>
      </c>
    </row>
    <row r="93" spans="1:7" x14ac:dyDescent="0.35">
      <c r="A93" s="68" t="s">
        <v>85</v>
      </c>
      <c r="B93" s="61" t="str">
        <f t="shared" si="3"/>
        <v>2013</v>
      </c>
      <c r="C93" s="86">
        <v>19168</v>
      </c>
      <c r="D93" s="63">
        <v>2013</v>
      </c>
      <c r="E93" s="61">
        <v>92</v>
      </c>
      <c r="F93" s="96">
        <v>1.0057927338780821</v>
      </c>
      <c r="G93" s="50">
        <f t="shared" si="4"/>
        <v>19057.604369533517</v>
      </c>
    </row>
    <row r="94" spans="1:7" x14ac:dyDescent="0.35">
      <c r="A94" s="70" t="s">
        <v>86</v>
      </c>
      <c r="B94" s="61" t="str">
        <f t="shared" si="3"/>
        <v>2013</v>
      </c>
      <c r="C94" s="86">
        <v>19806</v>
      </c>
      <c r="D94" s="63">
        <v>2013</v>
      </c>
      <c r="E94" s="61">
        <v>93</v>
      </c>
      <c r="F94" s="96">
        <v>1.0311404366997561</v>
      </c>
      <c r="G94" s="50">
        <f t="shared" si="4"/>
        <v>19207.858886215945</v>
      </c>
    </row>
    <row r="95" spans="1:7" x14ac:dyDescent="0.35">
      <c r="A95" s="68" t="s">
        <v>87</v>
      </c>
      <c r="B95" s="61" t="str">
        <f t="shared" si="3"/>
        <v>2013</v>
      </c>
      <c r="C95" s="86">
        <v>18547</v>
      </c>
      <c r="D95" s="63">
        <v>2013</v>
      </c>
      <c r="E95" s="61">
        <v>94</v>
      </c>
      <c r="F95" s="96">
        <v>0.99647151229008235</v>
      </c>
      <c r="G95" s="50">
        <f t="shared" si="4"/>
        <v>18612.674593552045</v>
      </c>
    </row>
    <row r="96" spans="1:7" x14ac:dyDescent="0.35">
      <c r="A96" s="68" t="s">
        <v>88</v>
      </c>
      <c r="B96" s="61" t="str">
        <f t="shared" si="3"/>
        <v>2013</v>
      </c>
      <c r="C96" s="86">
        <v>19470</v>
      </c>
      <c r="D96" s="63">
        <v>2013</v>
      </c>
      <c r="E96" s="61">
        <v>95</v>
      </c>
      <c r="F96" s="96">
        <v>0.99924985141460465</v>
      </c>
      <c r="G96" s="50">
        <f t="shared" si="4"/>
        <v>19484.616357397474</v>
      </c>
    </row>
    <row r="97" spans="1:7" x14ac:dyDescent="0.35">
      <c r="A97" s="68" t="s">
        <v>89</v>
      </c>
      <c r="B97" s="61" t="str">
        <f t="shared" si="3"/>
        <v>2013</v>
      </c>
      <c r="C97" s="86">
        <v>19562</v>
      </c>
      <c r="D97" s="63">
        <v>2013</v>
      </c>
      <c r="E97" s="61">
        <v>96</v>
      </c>
      <c r="F97" s="96">
        <v>1.0121735261994504</v>
      </c>
      <c r="G97" s="50">
        <f t="shared" si="4"/>
        <v>19326.725599564117</v>
      </c>
    </row>
    <row r="98" spans="1:7" x14ac:dyDescent="0.35">
      <c r="A98" s="68" t="s">
        <v>90</v>
      </c>
      <c r="B98" s="61" t="str">
        <f t="shared" ref="B98:B129" si="5">MID(A98,6,4)</f>
        <v>2013</v>
      </c>
      <c r="C98" s="86">
        <v>19217</v>
      </c>
      <c r="D98" s="63">
        <v>2013</v>
      </c>
      <c r="E98" s="61">
        <v>97</v>
      </c>
      <c r="F98" s="96">
        <v>0.98079097156469441</v>
      </c>
      <c r="G98" s="50">
        <f t="shared" si="4"/>
        <v>19593.369593668223</v>
      </c>
    </row>
    <row r="99" spans="1:7" x14ac:dyDescent="0.35">
      <c r="A99" s="68" t="s">
        <v>91</v>
      </c>
      <c r="B99" s="61" t="str">
        <f t="shared" si="5"/>
        <v>2013</v>
      </c>
      <c r="C99" s="86">
        <v>20478</v>
      </c>
      <c r="D99" s="63">
        <v>2013</v>
      </c>
      <c r="E99" s="61">
        <v>98</v>
      </c>
      <c r="F99" s="96">
        <v>1.0323394347969677</v>
      </c>
      <c r="G99" s="50">
        <f t="shared" si="4"/>
        <v>19836.498839189895</v>
      </c>
    </row>
    <row r="100" spans="1:7" x14ac:dyDescent="0.35">
      <c r="A100" s="68" t="s">
        <v>92</v>
      </c>
      <c r="B100" s="61" t="str">
        <f t="shared" si="5"/>
        <v>2013</v>
      </c>
      <c r="C100" s="86">
        <v>19554</v>
      </c>
      <c r="D100" s="63">
        <v>2013</v>
      </c>
      <c r="E100" s="61">
        <v>99</v>
      </c>
      <c r="F100" s="96">
        <v>0.9922802514367296</v>
      </c>
      <c r="G100" s="50">
        <f t="shared" si="4"/>
        <v>19706.126340504736</v>
      </c>
    </row>
    <row r="101" spans="1:7" ht="18.5" x14ac:dyDescent="0.45">
      <c r="A101" s="68" t="s">
        <v>93</v>
      </c>
      <c r="B101" s="61" t="str">
        <f t="shared" si="5"/>
        <v>2013</v>
      </c>
      <c r="C101" s="86">
        <v>22074</v>
      </c>
      <c r="D101" s="63">
        <v>2013</v>
      </c>
      <c r="E101" s="61">
        <v>100</v>
      </c>
      <c r="F101" s="96">
        <v>1.1073678838309451</v>
      </c>
      <c r="G101" s="102">
        <f t="shared" si="4"/>
        <v>19933.754917683615</v>
      </c>
    </row>
    <row r="102" spans="1:7" x14ac:dyDescent="0.35">
      <c r="A102" s="68" t="s">
        <v>94</v>
      </c>
      <c r="B102" s="61" t="str">
        <f t="shared" si="5"/>
        <v>2014</v>
      </c>
      <c r="C102" s="86">
        <v>20634</v>
      </c>
      <c r="D102" s="63">
        <v>2014</v>
      </c>
      <c r="E102" s="61">
        <v>101</v>
      </c>
      <c r="F102" s="96">
        <v>1.0234185080278571</v>
      </c>
      <c r="G102" s="50">
        <f t="shared" si="4"/>
        <v>20161.839792952378</v>
      </c>
    </row>
    <row r="103" spans="1:7" x14ac:dyDescent="0.35">
      <c r="A103" s="68" t="s">
        <v>95</v>
      </c>
      <c r="B103" s="61" t="str">
        <f t="shared" si="5"/>
        <v>2014</v>
      </c>
      <c r="C103" s="86">
        <v>19140</v>
      </c>
      <c r="D103" s="63">
        <v>2014</v>
      </c>
      <c r="E103" s="61">
        <v>102</v>
      </c>
      <c r="F103" s="96">
        <v>0.96778361364008814</v>
      </c>
      <c r="G103" s="50">
        <f t="shared" si="4"/>
        <v>19777.148249089936</v>
      </c>
    </row>
    <row r="104" spans="1:7" x14ac:dyDescent="0.35">
      <c r="A104" s="68" t="s">
        <v>96</v>
      </c>
      <c r="B104" s="61" t="str">
        <f t="shared" si="5"/>
        <v>2014</v>
      </c>
      <c r="C104" s="86">
        <v>20488</v>
      </c>
      <c r="D104" s="63">
        <v>2014</v>
      </c>
      <c r="E104" s="61">
        <v>103</v>
      </c>
      <c r="F104" s="96">
        <v>1.0471910079749045</v>
      </c>
      <c r="G104" s="50">
        <f t="shared" si="4"/>
        <v>19564.721090969288</v>
      </c>
    </row>
    <row r="105" spans="1:7" x14ac:dyDescent="0.35">
      <c r="A105" s="68" t="s">
        <v>97</v>
      </c>
      <c r="B105" s="61" t="str">
        <f t="shared" si="5"/>
        <v>2014</v>
      </c>
      <c r="C105" s="86">
        <v>20621</v>
      </c>
      <c r="D105" s="63">
        <v>2014</v>
      </c>
      <c r="E105" s="61">
        <v>104</v>
      </c>
      <c r="F105" s="96">
        <v>1.0057927338780821</v>
      </c>
      <c r="G105" s="50">
        <f t="shared" si="4"/>
        <v>20502.236002929396</v>
      </c>
    </row>
    <row r="106" spans="1:7" x14ac:dyDescent="0.35">
      <c r="A106" s="70" t="s">
        <v>98</v>
      </c>
      <c r="B106" s="61" t="str">
        <f t="shared" si="5"/>
        <v>2014</v>
      </c>
      <c r="C106" s="86">
        <v>21069</v>
      </c>
      <c r="D106" s="63">
        <v>2014</v>
      </c>
      <c r="E106" s="61">
        <v>105</v>
      </c>
      <c r="F106" s="96">
        <v>1.0311404366997561</v>
      </c>
      <c r="G106" s="50">
        <f t="shared" si="4"/>
        <v>20432.716291713812</v>
      </c>
    </row>
    <row r="107" spans="1:7" x14ac:dyDescent="0.35">
      <c r="A107" s="68" t="s">
        <v>99</v>
      </c>
      <c r="B107" s="61" t="str">
        <f t="shared" si="5"/>
        <v>2014</v>
      </c>
      <c r="C107" s="86">
        <v>20421</v>
      </c>
      <c r="D107" s="63">
        <v>2014</v>
      </c>
      <c r="E107" s="61">
        <v>106</v>
      </c>
      <c r="F107" s="96">
        <v>0.99647151229008235</v>
      </c>
      <c r="G107" s="50">
        <f t="shared" si="4"/>
        <v>20493.310393860265</v>
      </c>
    </row>
    <row r="108" spans="1:7" x14ac:dyDescent="0.35">
      <c r="A108" s="68" t="s">
        <v>100</v>
      </c>
      <c r="B108" s="61" t="str">
        <f t="shared" si="5"/>
        <v>2014</v>
      </c>
      <c r="C108" s="86">
        <v>20910</v>
      </c>
      <c r="D108" s="63">
        <v>2014</v>
      </c>
      <c r="E108" s="61">
        <v>107</v>
      </c>
      <c r="F108" s="96">
        <v>0.99924985141460465</v>
      </c>
      <c r="G108" s="50">
        <f t="shared" si="4"/>
        <v>20925.697382289734</v>
      </c>
    </row>
    <row r="109" spans="1:7" x14ac:dyDescent="0.35">
      <c r="A109" s="68" t="s">
        <v>101</v>
      </c>
      <c r="B109" s="61" t="str">
        <f t="shared" si="5"/>
        <v>2014</v>
      </c>
      <c r="C109" s="86">
        <v>20631</v>
      </c>
      <c r="D109" s="63">
        <v>2014</v>
      </c>
      <c r="E109" s="61">
        <v>108</v>
      </c>
      <c r="F109" s="96">
        <v>1.0121735261994504</v>
      </c>
      <c r="G109" s="50">
        <f t="shared" si="4"/>
        <v>20382.868614896601</v>
      </c>
    </row>
    <row r="110" spans="1:7" x14ac:dyDescent="0.35">
      <c r="A110" s="68" t="s">
        <v>102</v>
      </c>
      <c r="B110" s="61" t="str">
        <f t="shared" si="5"/>
        <v>2014</v>
      </c>
      <c r="C110" s="86">
        <v>20699</v>
      </c>
      <c r="D110" s="63">
        <v>2014</v>
      </c>
      <c r="E110" s="61">
        <v>109</v>
      </c>
      <c r="F110" s="96">
        <v>0.98079097156469441</v>
      </c>
      <c r="G110" s="50">
        <f t="shared" si="4"/>
        <v>21104.394922169879</v>
      </c>
    </row>
    <row r="111" spans="1:7" x14ac:dyDescent="0.35">
      <c r="A111" s="68" t="s">
        <v>103</v>
      </c>
      <c r="B111" s="61" t="str">
        <f t="shared" si="5"/>
        <v>2014</v>
      </c>
      <c r="C111" s="86">
        <v>21676</v>
      </c>
      <c r="D111" s="63">
        <v>2014</v>
      </c>
      <c r="E111" s="61">
        <v>110</v>
      </c>
      <c r="F111" s="96">
        <v>1.0323394347969677</v>
      </c>
      <c r="G111" s="50">
        <f t="shared" si="4"/>
        <v>20996.969862207254</v>
      </c>
    </row>
    <row r="112" spans="1:7" x14ac:dyDescent="0.35">
      <c r="A112" s="68" t="s">
        <v>104</v>
      </c>
      <c r="B112" s="61" t="str">
        <f t="shared" si="5"/>
        <v>2014</v>
      </c>
      <c r="C112" s="86">
        <v>20211</v>
      </c>
      <c r="D112" s="63">
        <v>2014</v>
      </c>
      <c r="E112" s="61">
        <v>111</v>
      </c>
      <c r="F112" s="96">
        <v>0.9922802514367296</v>
      </c>
      <c r="G112" s="50">
        <f t="shared" si="4"/>
        <v>20368.23767351648</v>
      </c>
    </row>
    <row r="113" spans="1:7" x14ac:dyDescent="0.35">
      <c r="A113" s="68" t="s">
        <v>105</v>
      </c>
      <c r="B113" s="61" t="str">
        <f t="shared" si="5"/>
        <v>2014</v>
      </c>
      <c r="C113" s="86">
        <v>24046</v>
      </c>
      <c r="D113" s="63">
        <v>2014</v>
      </c>
      <c r="E113" s="61">
        <v>112</v>
      </c>
      <c r="F113" s="96">
        <v>1.1073678838309451</v>
      </c>
      <c r="G113" s="50">
        <f t="shared" si="4"/>
        <v>21714.554260696757</v>
      </c>
    </row>
    <row r="114" spans="1:7" x14ac:dyDescent="0.35">
      <c r="A114" s="68" t="s">
        <v>106</v>
      </c>
      <c r="B114" s="61" t="str">
        <f t="shared" si="5"/>
        <v>2015</v>
      </c>
      <c r="C114" s="86">
        <v>21713</v>
      </c>
      <c r="D114" s="63">
        <v>2015</v>
      </c>
      <c r="E114" s="61">
        <v>113</v>
      </c>
      <c r="F114" s="96">
        <v>1.0234185080278571</v>
      </c>
      <c r="G114" s="50">
        <f t="shared" si="4"/>
        <v>21216.149434156003</v>
      </c>
    </row>
    <row r="115" spans="1:7" x14ac:dyDescent="0.35">
      <c r="A115" s="68" t="s">
        <v>107</v>
      </c>
      <c r="B115" s="61" t="str">
        <f t="shared" si="5"/>
        <v>2015</v>
      </c>
      <c r="C115" s="86">
        <v>20085</v>
      </c>
      <c r="D115" s="63">
        <v>2015</v>
      </c>
      <c r="E115" s="61">
        <v>114</v>
      </c>
      <c r="F115" s="96">
        <v>0.96778361364008814</v>
      </c>
      <c r="G115" s="50">
        <f t="shared" si="4"/>
        <v>20753.606195557542</v>
      </c>
    </row>
    <row r="116" spans="1:7" x14ac:dyDescent="0.35">
      <c r="A116" s="68" t="s">
        <v>108</v>
      </c>
      <c r="B116" s="61" t="str">
        <f t="shared" si="5"/>
        <v>2015</v>
      </c>
      <c r="C116" s="86">
        <v>22366</v>
      </c>
      <c r="D116" s="63">
        <v>2015</v>
      </c>
      <c r="E116" s="61">
        <v>115</v>
      </c>
      <c r="F116" s="96">
        <v>1.0471910079749045</v>
      </c>
      <c r="G116" s="50">
        <f t="shared" si="4"/>
        <v>21358.09019526645</v>
      </c>
    </row>
    <row r="117" spans="1:7" x14ac:dyDescent="0.35">
      <c r="A117" s="68" t="s">
        <v>109</v>
      </c>
      <c r="B117" s="61" t="str">
        <f t="shared" si="5"/>
        <v>2015</v>
      </c>
      <c r="C117" s="86">
        <v>21551</v>
      </c>
      <c r="D117" s="63">
        <v>2015</v>
      </c>
      <c r="E117" s="61">
        <v>116</v>
      </c>
      <c r="F117" s="96">
        <v>1.0057927338780821</v>
      </c>
      <c r="G117" s="50">
        <f t="shared" si="4"/>
        <v>21426.879787553047</v>
      </c>
    </row>
    <row r="118" spans="1:7" x14ac:dyDescent="0.35">
      <c r="A118" s="70" t="s">
        <v>110</v>
      </c>
      <c r="B118" s="61" t="str">
        <f t="shared" si="5"/>
        <v>2015</v>
      </c>
      <c r="C118" s="86">
        <v>21461</v>
      </c>
      <c r="D118" s="63">
        <v>2015</v>
      </c>
      <c r="E118" s="61">
        <v>117</v>
      </c>
      <c r="F118" s="96">
        <v>1.0311404366997561</v>
      </c>
      <c r="G118" s="50">
        <f t="shared" si="4"/>
        <v>20812.877893420195</v>
      </c>
    </row>
    <row r="119" spans="1:7" x14ac:dyDescent="0.35">
      <c r="A119" s="68" t="s">
        <v>111</v>
      </c>
      <c r="B119" s="61" t="str">
        <f t="shared" si="5"/>
        <v>2015</v>
      </c>
      <c r="C119" s="86">
        <v>21489</v>
      </c>
      <c r="D119" s="63">
        <v>2015</v>
      </c>
      <c r="E119" s="61">
        <v>118</v>
      </c>
      <c r="F119" s="96">
        <v>0.99647151229008235</v>
      </c>
      <c r="G119" s="50">
        <f t="shared" si="4"/>
        <v>21565.092162659184</v>
      </c>
    </row>
    <row r="120" spans="1:7" x14ac:dyDescent="0.35">
      <c r="A120" s="68" t="s">
        <v>112</v>
      </c>
      <c r="B120" s="61" t="str">
        <f t="shared" si="5"/>
        <v>2015</v>
      </c>
      <c r="C120" s="86">
        <v>21774</v>
      </c>
      <c r="D120" s="63">
        <v>2015</v>
      </c>
      <c r="E120" s="61">
        <v>119</v>
      </c>
      <c r="F120" s="96">
        <v>0.99924985141460465</v>
      </c>
      <c r="G120" s="50">
        <f t="shared" si="4"/>
        <v>21790.345997225093</v>
      </c>
    </row>
    <row r="121" spans="1:7" x14ac:dyDescent="0.35">
      <c r="A121" s="68" t="s">
        <v>113</v>
      </c>
      <c r="B121" s="61" t="str">
        <f t="shared" si="5"/>
        <v>2015</v>
      </c>
      <c r="C121" s="86">
        <v>21533</v>
      </c>
      <c r="D121" s="63">
        <v>2015</v>
      </c>
      <c r="E121" s="61">
        <v>120</v>
      </c>
      <c r="F121" s="96">
        <v>1.0121735261994504</v>
      </c>
      <c r="G121" s="50">
        <f t="shared" si="4"/>
        <v>21274.020158236075</v>
      </c>
    </row>
    <row r="122" spans="1:7" x14ac:dyDescent="0.35">
      <c r="A122" s="68" t="s">
        <v>114</v>
      </c>
      <c r="B122" s="61" t="str">
        <f t="shared" si="5"/>
        <v>2015</v>
      </c>
      <c r="C122" s="86">
        <v>22018</v>
      </c>
      <c r="D122" s="63">
        <v>2015</v>
      </c>
      <c r="E122" s="61">
        <v>121</v>
      </c>
      <c r="F122" s="96">
        <v>0.98079097156469441</v>
      </c>
      <c r="G122" s="50">
        <f t="shared" si="4"/>
        <v>22449.227856241192</v>
      </c>
    </row>
    <row r="123" spans="1:7" x14ac:dyDescent="0.35">
      <c r="A123" s="68" t="s">
        <v>115</v>
      </c>
      <c r="B123" s="61" t="str">
        <f t="shared" si="5"/>
        <v>2015</v>
      </c>
      <c r="C123" s="86">
        <v>22625</v>
      </c>
      <c r="D123" s="63">
        <v>2015</v>
      </c>
      <c r="E123" s="61">
        <v>122</v>
      </c>
      <c r="F123" s="96">
        <v>1.0323394347969677</v>
      </c>
      <c r="G123" s="50">
        <f t="shared" si="4"/>
        <v>21916.241148387115</v>
      </c>
    </row>
    <row r="124" spans="1:7" x14ac:dyDescent="0.35">
      <c r="A124" s="68" t="s">
        <v>116</v>
      </c>
      <c r="B124" s="61" t="str">
        <f t="shared" si="5"/>
        <v>2015</v>
      </c>
      <c r="C124" s="86">
        <v>21642</v>
      </c>
      <c r="D124" s="63">
        <v>2015</v>
      </c>
      <c r="E124" s="61">
        <v>123</v>
      </c>
      <c r="F124" s="96">
        <v>0.9922802514367296</v>
      </c>
      <c r="G124" s="50">
        <f t="shared" si="4"/>
        <v>21810.370576925616</v>
      </c>
    </row>
    <row r="125" spans="1:7" x14ac:dyDescent="0.35">
      <c r="A125" s="68" t="s">
        <v>117</v>
      </c>
      <c r="B125" s="61" t="str">
        <f t="shared" si="5"/>
        <v>2015</v>
      </c>
      <c r="C125" s="86">
        <v>25212</v>
      </c>
      <c r="D125" s="63">
        <v>2015</v>
      </c>
      <c r="E125" s="61">
        <v>124</v>
      </c>
      <c r="F125" s="96">
        <v>1.1073678838309451</v>
      </c>
      <c r="G125" s="50">
        <f t="shared" si="4"/>
        <v>22767.501539577752</v>
      </c>
    </row>
    <row r="126" spans="1:7" x14ac:dyDescent="0.35">
      <c r="A126" s="68" t="s">
        <v>118</v>
      </c>
      <c r="B126" s="61" t="str">
        <f t="shared" si="5"/>
        <v>2016</v>
      </c>
      <c r="C126" s="86">
        <v>22157</v>
      </c>
      <c r="D126" s="63">
        <v>2016</v>
      </c>
      <c r="E126" s="61">
        <v>125</v>
      </c>
      <c r="F126" s="96">
        <v>1.0234185080278571</v>
      </c>
      <c r="G126" s="50">
        <f t="shared" si="4"/>
        <v>21649.989546013658</v>
      </c>
    </row>
    <row r="127" spans="1:7" x14ac:dyDescent="0.35">
      <c r="A127" s="68" t="s">
        <v>119</v>
      </c>
      <c r="B127" s="61" t="str">
        <f t="shared" si="5"/>
        <v>2016</v>
      </c>
      <c r="C127" s="86">
        <v>22390</v>
      </c>
      <c r="D127" s="63">
        <v>2016</v>
      </c>
      <c r="E127" s="61">
        <v>126</v>
      </c>
      <c r="F127" s="96">
        <v>0.96778361364008814</v>
      </c>
      <c r="G127" s="50">
        <f t="shared" si="4"/>
        <v>23135.336953872709</v>
      </c>
    </row>
    <row r="128" spans="1:7" x14ac:dyDescent="0.35">
      <c r="A128" s="68" t="s">
        <v>120</v>
      </c>
      <c r="B128" s="61" t="str">
        <f t="shared" si="5"/>
        <v>2016</v>
      </c>
      <c r="C128" s="86">
        <v>23550</v>
      </c>
      <c r="D128" s="63">
        <v>2016</v>
      </c>
      <c r="E128" s="61">
        <v>127</v>
      </c>
      <c r="F128" s="96">
        <v>1.0471910079749045</v>
      </c>
      <c r="G128" s="50">
        <f t="shared" si="4"/>
        <v>22488.733975611416</v>
      </c>
    </row>
    <row r="129" spans="1:7" x14ac:dyDescent="0.35">
      <c r="A129" s="68" t="s">
        <v>121</v>
      </c>
      <c r="B129" s="61" t="str">
        <f t="shared" si="5"/>
        <v>2016</v>
      </c>
      <c r="C129" s="86">
        <v>22650</v>
      </c>
      <c r="D129" s="63">
        <v>2016</v>
      </c>
      <c r="E129" s="61">
        <v>128</v>
      </c>
      <c r="F129" s="96">
        <v>1.0057927338780821</v>
      </c>
      <c r="G129" s="50">
        <f t="shared" si="4"/>
        <v>22519.550238414762</v>
      </c>
    </row>
    <row r="130" spans="1:7" x14ac:dyDescent="0.35">
      <c r="A130" s="70" t="s">
        <v>122</v>
      </c>
      <c r="B130" s="61" t="str">
        <f t="shared" ref="B130:B161" si="6">MID(A130,6,4)</f>
        <v>2016</v>
      </c>
      <c r="C130" s="86">
        <v>23091</v>
      </c>
      <c r="D130" s="63">
        <v>2016</v>
      </c>
      <c r="E130" s="61">
        <v>129</v>
      </c>
      <c r="F130" s="96">
        <v>1.0311404366997561</v>
      </c>
      <c r="G130" s="50">
        <f t="shared" si="4"/>
        <v>22393.651900515622</v>
      </c>
    </row>
    <row r="131" spans="1:7" x14ac:dyDescent="0.35">
      <c r="A131" s="68" t="s">
        <v>123</v>
      </c>
      <c r="B131" s="61" t="str">
        <f t="shared" si="6"/>
        <v>2016</v>
      </c>
      <c r="C131" s="86">
        <v>22696</v>
      </c>
      <c r="D131" s="63">
        <v>2016</v>
      </c>
      <c r="E131" s="61">
        <v>130</v>
      </c>
      <c r="F131" s="96">
        <v>0.99647151229008235</v>
      </c>
      <c r="G131" s="50">
        <f t="shared" ref="G131:G181" si="7">C131/F131</f>
        <v>22776.366127959089</v>
      </c>
    </row>
    <row r="132" spans="1:7" x14ac:dyDescent="0.35">
      <c r="A132" s="68" t="s">
        <v>124</v>
      </c>
      <c r="B132" s="61" t="str">
        <f t="shared" si="6"/>
        <v>2016</v>
      </c>
      <c r="C132" s="86">
        <v>22157</v>
      </c>
      <c r="D132" s="63">
        <v>2016</v>
      </c>
      <c r="E132" s="61">
        <v>131</v>
      </c>
      <c r="F132" s="96">
        <v>0.99924985141460465</v>
      </c>
      <c r="G132" s="50">
        <f t="shared" si="7"/>
        <v>22173.633519817966</v>
      </c>
    </row>
    <row r="133" spans="1:7" x14ac:dyDescent="0.35">
      <c r="A133" s="68" t="s">
        <v>125</v>
      </c>
      <c r="B133" s="61" t="str">
        <f t="shared" si="6"/>
        <v>2016</v>
      </c>
      <c r="C133" s="86">
        <v>22989</v>
      </c>
      <c r="D133" s="63">
        <v>2016</v>
      </c>
      <c r="E133" s="61">
        <v>132</v>
      </c>
      <c r="F133" s="96">
        <v>1.0121735261994504</v>
      </c>
      <c r="G133" s="50">
        <f t="shared" si="7"/>
        <v>22712.508680522416</v>
      </c>
    </row>
    <row r="134" spans="1:7" x14ac:dyDescent="0.35">
      <c r="A134" s="68" t="s">
        <v>126</v>
      </c>
      <c r="B134" s="61" t="str">
        <f t="shared" si="6"/>
        <v>2016</v>
      </c>
      <c r="C134" s="86">
        <v>22211</v>
      </c>
      <c r="D134" s="63">
        <v>2016</v>
      </c>
      <c r="E134" s="61">
        <v>133</v>
      </c>
      <c r="F134" s="96">
        <v>0.98079097156469441</v>
      </c>
      <c r="G134" s="50">
        <f t="shared" si="7"/>
        <v>22646.007807928654</v>
      </c>
    </row>
    <row r="135" spans="1:7" x14ac:dyDescent="0.35">
      <c r="A135" s="68" t="s">
        <v>127</v>
      </c>
      <c r="B135" s="61" t="str">
        <f t="shared" si="6"/>
        <v>2016</v>
      </c>
      <c r="C135" s="86">
        <v>22096</v>
      </c>
      <c r="D135" s="63">
        <v>2016</v>
      </c>
      <c r="E135" s="61">
        <v>134</v>
      </c>
      <c r="F135" s="96">
        <v>1.0323394347969677</v>
      </c>
      <c r="G135" s="50">
        <f t="shared" si="7"/>
        <v>21403.81279181267</v>
      </c>
    </row>
    <row r="136" spans="1:7" x14ac:dyDescent="0.35">
      <c r="A136" s="68" t="s">
        <v>128</v>
      </c>
      <c r="B136" s="61" t="str">
        <f t="shared" si="6"/>
        <v>2016</v>
      </c>
      <c r="C136" s="86">
        <v>21854</v>
      </c>
      <c r="D136" s="63">
        <v>2016</v>
      </c>
      <c r="E136" s="61">
        <v>135</v>
      </c>
      <c r="F136" s="96">
        <v>0.9922802514367296</v>
      </c>
      <c r="G136" s="50">
        <f t="shared" si="7"/>
        <v>22024.019895949194</v>
      </c>
    </row>
    <row r="137" spans="1:7" x14ac:dyDescent="0.35">
      <c r="A137" s="68" t="s">
        <v>129</v>
      </c>
      <c r="B137" s="61" t="str">
        <f t="shared" si="6"/>
        <v>2016</v>
      </c>
      <c r="C137" s="86">
        <v>24489</v>
      </c>
      <c r="D137" s="63">
        <v>2016</v>
      </c>
      <c r="E137" s="61">
        <v>136</v>
      </c>
      <c r="F137" s="96">
        <v>1.1073678838309451</v>
      </c>
      <c r="G137" s="50">
        <f t="shared" si="7"/>
        <v>22114.601983290479</v>
      </c>
    </row>
    <row r="138" spans="1:7" x14ac:dyDescent="0.35">
      <c r="A138" s="68" t="s">
        <v>130</v>
      </c>
      <c r="B138" s="61" t="str">
        <f t="shared" si="6"/>
        <v>2017</v>
      </c>
      <c r="C138" s="86">
        <v>22379</v>
      </c>
      <c r="D138" s="63">
        <v>2017</v>
      </c>
      <c r="E138" s="61">
        <v>137</v>
      </c>
      <c r="F138" s="96">
        <v>1.0234185080278571</v>
      </c>
      <c r="G138" s="50">
        <f t="shared" si="7"/>
        <v>21866.909601942487</v>
      </c>
    </row>
    <row r="139" spans="1:7" x14ac:dyDescent="0.35">
      <c r="A139" s="68" t="s">
        <v>131</v>
      </c>
      <c r="B139" s="61" t="str">
        <f t="shared" si="6"/>
        <v>2017</v>
      </c>
      <c r="C139" s="86">
        <v>21234</v>
      </c>
      <c r="D139" s="63">
        <v>2017</v>
      </c>
      <c r="E139" s="61">
        <v>138</v>
      </c>
      <c r="F139" s="96">
        <v>0.96778361364008814</v>
      </c>
      <c r="G139" s="50">
        <f t="shared" si="7"/>
        <v>21940.855063802283</v>
      </c>
    </row>
    <row r="140" spans="1:7" x14ac:dyDescent="0.35">
      <c r="A140" s="68" t="s">
        <v>132</v>
      </c>
      <c r="B140" s="61" t="str">
        <f t="shared" si="6"/>
        <v>2017</v>
      </c>
      <c r="C140" s="86">
        <v>23348</v>
      </c>
      <c r="D140" s="63">
        <v>2017</v>
      </c>
      <c r="E140" s="61">
        <v>139</v>
      </c>
      <c r="F140" s="96">
        <v>1.0471910079749045</v>
      </c>
      <c r="G140" s="50">
        <f t="shared" si="7"/>
        <v>22295.836979302563</v>
      </c>
    </row>
    <row r="141" spans="1:7" x14ac:dyDescent="0.35">
      <c r="A141" s="68" t="s">
        <v>133</v>
      </c>
      <c r="B141" s="61" t="str">
        <f t="shared" si="6"/>
        <v>2017</v>
      </c>
      <c r="C141" s="86">
        <v>22294</v>
      </c>
      <c r="D141" s="63">
        <v>2017</v>
      </c>
      <c r="E141" s="61">
        <v>140</v>
      </c>
      <c r="F141" s="96">
        <v>1.0057927338780821</v>
      </c>
      <c r="G141" s="50">
        <f t="shared" si="7"/>
        <v>22165.600574623342</v>
      </c>
    </row>
    <row r="142" spans="1:7" x14ac:dyDescent="0.35">
      <c r="A142" s="70" t="s">
        <v>134</v>
      </c>
      <c r="B142" s="61" t="str">
        <f t="shared" si="6"/>
        <v>2017</v>
      </c>
      <c r="C142" s="86">
        <v>23737</v>
      </c>
      <c r="D142" s="63">
        <v>2017</v>
      </c>
      <c r="E142" s="61">
        <v>141</v>
      </c>
      <c r="F142" s="96">
        <v>1.0311404366997561</v>
      </c>
      <c r="G142" s="50">
        <f t="shared" si="7"/>
        <v>23020.142703327674</v>
      </c>
    </row>
    <row r="143" spans="1:7" x14ac:dyDescent="0.35">
      <c r="A143" s="68" t="s">
        <v>135</v>
      </c>
      <c r="B143" s="61" t="str">
        <f t="shared" si="6"/>
        <v>2017</v>
      </c>
      <c r="C143" s="86">
        <v>23055</v>
      </c>
      <c r="D143" s="63">
        <v>2017</v>
      </c>
      <c r="E143" s="61">
        <v>142</v>
      </c>
      <c r="F143" s="96">
        <v>0.99647151229008235</v>
      </c>
      <c r="G143" s="50">
        <f t="shared" si="7"/>
        <v>23136.637340504793</v>
      </c>
    </row>
    <row r="144" spans="1:7" x14ac:dyDescent="0.35">
      <c r="A144" s="68" t="s">
        <v>136</v>
      </c>
      <c r="B144" s="61" t="str">
        <f t="shared" si="6"/>
        <v>2017</v>
      </c>
      <c r="C144" s="86">
        <v>22295</v>
      </c>
      <c r="D144" s="63">
        <v>2017</v>
      </c>
      <c r="E144" s="61">
        <v>143</v>
      </c>
      <c r="F144" s="96">
        <v>0.99924985141460465</v>
      </c>
      <c r="G144" s="50">
        <f t="shared" si="7"/>
        <v>22311.73711803681</v>
      </c>
    </row>
    <row r="145" spans="1:7" x14ac:dyDescent="0.35">
      <c r="A145" s="68" t="s">
        <v>137</v>
      </c>
      <c r="B145" s="61" t="str">
        <f t="shared" si="6"/>
        <v>2017</v>
      </c>
      <c r="C145" s="86">
        <v>23540</v>
      </c>
      <c r="D145" s="63">
        <v>2017</v>
      </c>
      <c r="E145" s="61">
        <v>144</v>
      </c>
      <c r="F145" s="96">
        <v>1.0121735261994504</v>
      </c>
      <c r="G145" s="50">
        <f t="shared" si="7"/>
        <v>23256.881740810721</v>
      </c>
    </row>
    <row r="146" spans="1:7" x14ac:dyDescent="0.35">
      <c r="A146" s="68" t="s">
        <v>138</v>
      </c>
      <c r="B146" s="61" t="str">
        <f t="shared" si="6"/>
        <v>2017</v>
      </c>
      <c r="C146" s="86">
        <v>22628</v>
      </c>
      <c r="D146" s="63">
        <v>2017</v>
      </c>
      <c r="E146" s="61">
        <v>145</v>
      </c>
      <c r="F146" s="96">
        <v>0.98079097156469441</v>
      </c>
      <c r="G146" s="50">
        <f t="shared" si="7"/>
        <v>23071.1748538026</v>
      </c>
    </row>
    <row r="147" spans="1:7" x14ac:dyDescent="0.35">
      <c r="A147" s="68" t="s">
        <v>139</v>
      </c>
      <c r="B147" s="61" t="str">
        <f t="shared" si="6"/>
        <v>2017</v>
      </c>
      <c r="C147" s="86">
        <v>24105</v>
      </c>
      <c r="D147" s="63">
        <v>2017</v>
      </c>
      <c r="E147" s="61">
        <v>146</v>
      </c>
      <c r="F147" s="96">
        <v>1.0323394347969677</v>
      </c>
      <c r="G147" s="50">
        <f t="shared" si="7"/>
        <v>23349.878138425254</v>
      </c>
    </row>
    <row r="148" spans="1:7" x14ac:dyDescent="0.35">
      <c r="A148" s="68" t="s">
        <v>140</v>
      </c>
      <c r="B148" s="61" t="str">
        <f t="shared" si="6"/>
        <v>2017</v>
      </c>
      <c r="C148" s="86">
        <v>23359</v>
      </c>
      <c r="D148" s="63">
        <v>2017</v>
      </c>
      <c r="E148" s="61">
        <v>147</v>
      </c>
      <c r="F148" s="96">
        <v>0.9922802514367296</v>
      </c>
      <c r="G148" s="50">
        <f t="shared" si="7"/>
        <v>23540.728505055238</v>
      </c>
    </row>
    <row r="149" spans="1:7" x14ac:dyDescent="0.35">
      <c r="A149" s="68" t="s">
        <v>141</v>
      </c>
      <c r="B149" s="61" t="str">
        <f t="shared" si="6"/>
        <v>2017</v>
      </c>
      <c r="C149" s="86">
        <v>25422</v>
      </c>
      <c r="D149" s="63">
        <v>2017</v>
      </c>
      <c r="E149" s="61">
        <v>148</v>
      </c>
      <c r="F149" s="96">
        <v>1.1073678838309451</v>
      </c>
      <c r="G149" s="50">
        <f t="shared" si="7"/>
        <v>22957.140414847916</v>
      </c>
    </row>
    <row r="150" spans="1:7" x14ac:dyDescent="0.35">
      <c r="A150" s="68" t="s">
        <v>142</v>
      </c>
      <c r="B150" s="61" t="str">
        <f t="shared" si="6"/>
        <v>2018</v>
      </c>
      <c r="C150" s="86">
        <v>24280</v>
      </c>
      <c r="D150" s="63">
        <v>2018</v>
      </c>
      <c r="E150" s="61">
        <v>149</v>
      </c>
      <c r="F150" s="96">
        <v>1.0234185080278571</v>
      </c>
      <c r="G150" s="50">
        <f t="shared" si="7"/>
        <v>23724.409720504202</v>
      </c>
    </row>
    <row r="151" spans="1:7" x14ac:dyDescent="0.35">
      <c r="A151" s="68" t="s">
        <v>143</v>
      </c>
      <c r="B151" s="61" t="str">
        <f t="shared" si="6"/>
        <v>2018</v>
      </c>
      <c r="C151" s="86">
        <v>22007</v>
      </c>
      <c r="D151" s="63">
        <v>2018</v>
      </c>
      <c r="E151" s="61">
        <v>150</v>
      </c>
      <c r="F151" s="96">
        <v>0.96778361364008814</v>
      </c>
      <c r="G151" s="50">
        <f t="shared" si="7"/>
        <v>22739.587331124461</v>
      </c>
    </row>
    <row r="152" spans="1:7" x14ac:dyDescent="0.35">
      <c r="A152" s="68" t="s">
        <v>144</v>
      </c>
      <c r="B152" s="61" t="str">
        <f t="shared" si="6"/>
        <v>2018</v>
      </c>
      <c r="C152" s="86">
        <v>24075</v>
      </c>
      <c r="D152" s="63">
        <v>2018</v>
      </c>
      <c r="E152" s="61">
        <v>151</v>
      </c>
      <c r="F152" s="96">
        <v>1.0471910079749045</v>
      </c>
      <c r="G152" s="50">
        <f t="shared" si="7"/>
        <v>22990.075178889376</v>
      </c>
    </row>
    <row r="153" spans="1:7" x14ac:dyDescent="0.35">
      <c r="A153" s="68" t="s">
        <v>145</v>
      </c>
      <c r="B153" s="61" t="str">
        <f t="shared" si="6"/>
        <v>2018</v>
      </c>
      <c r="C153" s="86">
        <v>23242</v>
      </c>
      <c r="D153" s="63">
        <v>2018</v>
      </c>
      <c r="E153" s="61">
        <v>152</v>
      </c>
      <c r="F153" s="96">
        <v>1.0057927338780821</v>
      </c>
      <c r="G153" s="50">
        <f t="shared" si="7"/>
        <v>23108.140690562293</v>
      </c>
    </row>
    <row r="154" spans="1:7" x14ac:dyDescent="0.35">
      <c r="A154" s="70" t="s">
        <v>146</v>
      </c>
      <c r="B154" s="61" t="str">
        <f t="shared" si="6"/>
        <v>2018</v>
      </c>
      <c r="C154" s="86">
        <v>24848</v>
      </c>
      <c r="D154" s="63">
        <v>2018</v>
      </c>
      <c r="E154" s="61">
        <v>153</v>
      </c>
      <c r="F154" s="96">
        <v>1.0311404366997561</v>
      </c>
      <c r="G154" s="50">
        <f t="shared" si="7"/>
        <v>24097.590508163881</v>
      </c>
    </row>
    <row r="155" spans="1:7" x14ac:dyDescent="0.35">
      <c r="A155" s="68" t="s">
        <v>147</v>
      </c>
      <c r="B155" s="61" t="str">
        <f t="shared" si="6"/>
        <v>2018</v>
      </c>
      <c r="C155" s="86">
        <v>23329</v>
      </c>
      <c r="D155" s="63">
        <v>2018</v>
      </c>
      <c r="E155" s="61">
        <v>154</v>
      </c>
      <c r="F155" s="96">
        <v>0.99647151229008235</v>
      </c>
      <c r="G155" s="50">
        <f t="shared" si="7"/>
        <v>23411.607569578675</v>
      </c>
    </row>
    <row r="156" spans="1:7" x14ac:dyDescent="0.35">
      <c r="A156" s="68" t="s">
        <v>148</v>
      </c>
      <c r="B156" s="61" t="str">
        <f t="shared" si="6"/>
        <v>2018</v>
      </c>
      <c r="C156" s="86">
        <v>23581</v>
      </c>
      <c r="D156" s="63">
        <v>2018</v>
      </c>
      <c r="E156" s="61">
        <v>155</v>
      </c>
      <c r="F156" s="96">
        <v>0.99924985141460465</v>
      </c>
      <c r="G156" s="50">
        <f t="shared" si="7"/>
        <v>23598.702533322539</v>
      </c>
    </row>
    <row r="157" spans="1:7" x14ac:dyDescent="0.35">
      <c r="A157" s="68" t="s">
        <v>149</v>
      </c>
      <c r="B157" s="61" t="str">
        <f t="shared" si="6"/>
        <v>2018</v>
      </c>
      <c r="C157" s="86">
        <v>24762</v>
      </c>
      <c r="D157" s="63">
        <v>2018</v>
      </c>
      <c r="E157" s="61">
        <v>156</v>
      </c>
      <c r="F157" s="96">
        <v>1.0121735261994504</v>
      </c>
      <c r="G157" s="50">
        <f t="shared" si="7"/>
        <v>24464.18460772961</v>
      </c>
    </row>
    <row r="158" spans="1:7" x14ac:dyDescent="0.35">
      <c r="A158" s="68" t="s">
        <v>150</v>
      </c>
      <c r="B158" s="61" t="str">
        <f t="shared" si="6"/>
        <v>2018</v>
      </c>
      <c r="C158" s="86">
        <v>22930</v>
      </c>
      <c r="D158" s="63">
        <v>2018</v>
      </c>
      <c r="E158" s="61">
        <v>157</v>
      </c>
      <c r="F158" s="96">
        <v>0.98079097156469441</v>
      </c>
      <c r="G158" s="50">
        <f t="shared" si="7"/>
        <v>23379.089596857593</v>
      </c>
    </row>
    <row r="159" spans="1:7" x14ac:dyDescent="0.35">
      <c r="A159" s="68" t="s">
        <v>151</v>
      </c>
      <c r="B159" s="61" t="str">
        <f t="shared" si="6"/>
        <v>2018</v>
      </c>
      <c r="C159" s="86">
        <v>25608</v>
      </c>
      <c r="D159" s="63">
        <v>2018</v>
      </c>
      <c r="E159" s="61">
        <v>158</v>
      </c>
      <c r="F159" s="96">
        <v>1.0323394347969677</v>
      </c>
      <c r="G159" s="50">
        <f t="shared" si="7"/>
        <v>24805.794622227502</v>
      </c>
    </row>
    <row r="160" spans="1:7" x14ac:dyDescent="0.35">
      <c r="A160" s="68" t="s">
        <v>152</v>
      </c>
      <c r="B160" s="61" t="str">
        <f t="shared" si="6"/>
        <v>2018</v>
      </c>
      <c r="C160" s="86">
        <v>24553</v>
      </c>
      <c r="D160" s="63">
        <v>2018</v>
      </c>
      <c r="E160" s="61">
        <v>159</v>
      </c>
      <c r="F160" s="96">
        <v>0.9922802514367296</v>
      </c>
      <c r="G160" s="50">
        <f t="shared" si="7"/>
        <v>24744.017594272926</v>
      </c>
    </row>
    <row r="161" spans="1:7" x14ac:dyDescent="0.35">
      <c r="A161" s="68" t="s">
        <v>153</v>
      </c>
      <c r="B161" s="61" t="str">
        <f t="shared" si="6"/>
        <v>2018</v>
      </c>
      <c r="C161" s="86">
        <v>25631</v>
      </c>
      <c r="D161" s="63">
        <v>2018</v>
      </c>
      <c r="E161" s="61">
        <v>160</v>
      </c>
      <c r="F161" s="96">
        <v>1.1073678838309451</v>
      </c>
      <c r="G161" s="50">
        <f t="shared" si="7"/>
        <v>23145.876247854885</v>
      </c>
    </row>
    <row r="162" spans="1:7" x14ac:dyDescent="0.35">
      <c r="A162" s="68" t="s">
        <v>154</v>
      </c>
      <c r="B162" s="61" t="str">
        <f t="shared" ref="B162:B193" si="8">MID(A162,6,4)</f>
        <v>2019</v>
      </c>
      <c r="C162" s="86">
        <v>25037</v>
      </c>
      <c r="D162" s="63">
        <v>2019</v>
      </c>
      <c r="E162" s="61">
        <v>161</v>
      </c>
      <c r="F162" s="96">
        <v>1.0234185080278571</v>
      </c>
      <c r="G162" s="50">
        <f t="shared" si="7"/>
        <v>24464.087568874122</v>
      </c>
    </row>
    <row r="163" spans="1:7" x14ac:dyDescent="0.35">
      <c r="A163" s="68" t="s">
        <v>155</v>
      </c>
      <c r="B163" s="61" t="str">
        <f t="shared" si="8"/>
        <v>2019</v>
      </c>
      <c r="C163" s="86">
        <v>23240</v>
      </c>
      <c r="D163" s="63">
        <v>2019</v>
      </c>
      <c r="E163" s="61">
        <v>162</v>
      </c>
      <c r="F163" s="96">
        <v>0.96778361364008814</v>
      </c>
      <c r="G163" s="50">
        <f t="shared" si="7"/>
        <v>24013.632461277433</v>
      </c>
    </row>
    <row r="164" spans="1:7" x14ac:dyDescent="0.35">
      <c r="A164" s="68" t="s">
        <v>156</v>
      </c>
      <c r="B164" s="61" t="str">
        <f t="shared" si="8"/>
        <v>2019</v>
      </c>
      <c r="C164" s="86">
        <v>24577</v>
      </c>
      <c r="D164" s="63">
        <v>2019</v>
      </c>
      <c r="E164" s="61">
        <v>163</v>
      </c>
      <c r="F164" s="96">
        <v>1.0471910079749045</v>
      </c>
      <c r="G164" s="50">
        <f t="shared" si="7"/>
        <v>23469.452862785638</v>
      </c>
    </row>
    <row r="165" spans="1:7" x14ac:dyDescent="0.35">
      <c r="A165" s="68" t="s">
        <v>157</v>
      </c>
      <c r="B165" s="61" t="str">
        <f t="shared" si="8"/>
        <v>2019</v>
      </c>
      <c r="C165" s="86">
        <v>24806</v>
      </c>
      <c r="D165" s="63">
        <v>2019</v>
      </c>
      <c r="E165" s="61">
        <v>164</v>
      </c>
      <c r="F165" s="96">
        <v>1.0057927338780821</v>
      </c>
      <c r="G165" s="50">
        <f t="shared" si="7"/>
        <v>24663.133033735834</v>
      </c>
    </row>
    <row r="166" spans="1:7" x14ac:dyDescent="0.35">
      <c r="A166" s="70" t="s">
        <v>158</v>
      </c>
      <c r="B166" s="61" t="str">
        <f t="shared" si="8"/>
        <v>2019</v>
      </c>
      <c r="C166" s="86">
        <v>25717</v>
      </c>
      <c r="D166" s="63">
        <v>2019</v>
      </c>
      <c r="E166" s="61">
        <v>165</v>
      </c>
      <c r="F166" s="96">
        <v>1.0311404366997561</v>
      </c>
      <c r="G166" s="50">
        <f t="shared" si="7"/>
        <v>24940.346711946655</v>
      </c>
    </row>
    <row r="167" spans="1:7" x14ac:dyDescent="0.35">
      <c r="A167" s="68" t="s">
        <v>159</v>
      </c>
      <c r="B167" s="61" t="str">
        <f t="shared" si="8"/>
        <v>2019</v>
      </c>
      <c r="C167" s="86">
        <v>23745</v>
      </c>
      <c r="D167" s="63">
        <v>2019</v>
      </c>
      <c r="E167" s="61">
        <v>166</v>
      </c>
      <c r="F167" s="96">
        <v>0.99647151229008235</v>
      </c>
      <c r="G167" s="50">
        <f t="shared" si="7"/>
        <v>23829.080618099601</v>
      </c>
    </row>
    <row r="168" spans="1:7" x14ac:dyDescent="0.35">
      <c r="A168" s="68" t="s">
        <v>160</v>
      </c>
      <c r="B168" s="61" t="str">
        <f t="shared" si="8"/>
        <v>2019</v>
      </c>
      <c r="C168" s="86">
        <v>24531</v>
      </c>
      <c r="D168" s="63">
        <v>2019</v>
      </c>
      <c r="E168" s="61">
        <v>167</v>
      </c>
      <c r="F168" s="96">
        <v>0.99924985141460465</v>
      </c>
      <c r="G168" s="50">
        <f t="shared" si="7"/>
        <v>24549.415709466739</v>
      </c>
    </row>
    <row r="169" spans="1:7" x14ac:dyDescent="0.35">
      <c r="A169" s="68" t="s">
        <v>161</v>
      </c>
      <c r="B169" s="61" t="str">
        <f t="shared" si="8"/>
        <v>2019</v>
      </c>
      <c r="C169" s="86">
        <v>24710</v>
      </c>
      <c r="D169" s="63">
        <v>2019</v>
      </c>
      <c r="E169" s="61">
        <v>168</v>
      </c>
      <c r="F169" s="96">
        <v>1.0121735261994504</v>
      </c>
      <c r="G169" s="50">
        <f t="shared" si="7"/>
        <v>24412.810017647957</v>
      </c>
    </row>
    <row r="170" spans="1:7" x14ac:dyDescent="0.35">
      <c r="A170" s="68" t="s">
        <v>162</v>
      </c>
      <c r="B170" s="61" t="str">
        <f t="shared" si="8"/>
        <v>2019</v>
      </c>
      <c r="C170" s="86">
        <v>23630</v>
      </c>
      <c r="D170" s="63">
        <v>2019</v>
      </c>
      <c r="E170" s="61">
        <v>169</v>
      </c>
      <c r="F170" s="96">
        <v>0.98079097156469441</v>
      </c>
      <c r="G170" s="50">
        <f t="shared" si="7"/>
        <v>24092.799266190359</v>
      </c>
    </row>
    <row r="171" spans="1:7" x14ac:dyDescent="0.35">
      <c r="A171" s="68" t="s">
        <v>163</v>
      </c>
      <c r="B171" s="61" t="str">
        <f t="shared" si="8"/>
        <v>2019</v>
      </c>
      <c r="C171" s="86">
        <v>26097</v>
      </c>
      <c r="D171" s="63">
        <v>2019</v>
      </c>
      <c r="E171" s="61">
        <v>170</v>
      </c>
      <c r="F171" s="96">
        <v>1.0323394347969677</v>
      </c>
      <c r="G171" s="50">
        <f t="shared" si="7"/>
        <v>25279.47603312524</v>
      </c>
    </row>
    <row r="172" spans="1:7" x14ac:dyDescent="0.35">
      <c r="A172" s="68" t="s">
        <v>164</v>
      </c>
      <c r="B172" s="61" t="str">
        <f t="shared" si="8"/>
        <v>2019</v>
      </c>
      <c r="C172" s="86">
        <v>23964</v>
      </c>
      <c r="D172" s="63">
        <v>2019</v>
      </c>
      <c r="E172" s="61">
        <v>171</v>
      </c>
      <c r="F172" s="96">
        <v>0.9922802514367296</v>
      </c>
      <c r="G172" s="50">
        <f t="shared" si="7"/>
        <v>24150.435288117802</v>
      </c>
    </row>
    <row r="173" spans="1:7" x14ac:dyDescent="0.35">
      <c r="A173" s="68" t="s">
        <v>165</v>
      </c>
      <c r="B173" s="61" t="str">
        <f t="shared" si="8"/>
        <v>2019</v>
      </c>
      <c r="C173" s="86">
        <v>26509</v>
      </c>
      <c r="D173" s="63">
        <v>2019</v>
      </c>
      <c r="E173" s="61">
        <v>172</v>
      </c>
      <c r="F173" s="96">
        <v>1.1073678838309451</v>
      </c>
      <c r="G173" s="50">
        <f t="shared" si="7"/>
        <v>23938.747354936801</v>
      </c>
    </row>
    <row r="174" spans="1:7" x14ac:dyDescent="0.35">
      <c r="A174" s="68" t="s">
        <v>166</v>
      </c>
      <c r="B174" s="61" t="str">
        <f t="shared" si="8"/>
        <v>2020</v>
      </c>
      <c r="C174" s="86">
        <v>25209</v>
      </c>
      <c r="D174" s="63">
        <v>2020</v>
      </c>
      <c r="E174" s="61">
        <v>173</v>
      </c>
      <c r="F174" s="96">
        <v>1.0234185080278571</v>
      </c>
      <c r="G174" s="50">
        <f t="shared" si="7"/>
        <v>24632.151756350511</v>
      </c>
    </row>
    <row r="175" spans="1:7" x14ac:dyDescent="0.35">
      <c r="A175" s="68" t="s">
        <v>167</v>
      </c>
      <c r="B175" s="61" t="str">
        <f t="shared" si="8"/>
        <v>2020</v>
      </c>
      <c r="C175" s="86">
        <v>23934</v>
      </c>
      <c r="D175" s="63">
        <v>2020</v>
      </c>
      <c r="E175" s="61">
        <v>174</v>
      </c>
      <c r="F175" s="96">
        <v>0.96778361364008814</v>
      </c>
      <c r="G175" s="50">
        <f t="shared" si="7"/>
        <v>24730.734910852589</v>
      </c>
    </row>
    <row r="176" spans="1:7" x14ac:dyDescent="0.35">
      <c r="A176" s="68" t="s">
        <v>168</v>
      </c>
      <c r="B176" s="61" t="str">
        <f t="shared" si="8"/>
        <v>2020</v>
      </c>
      <c r="C176" s="86">
        <v>27839</v>
      </c>
      <c r="D176" s="63">
        <v>2020</v>
      </c>
      <c r="E176" s="61">
        <v>175</v>
      </c>
      <c r="F176" s="96">
        <v>1.0471910079749045</v>
      </c>
      <c r="G176" s="50">
        <f t="shared" si="7"/>
        <v>26584.452872486039</v>
      </c>
    </row>
    <row r="177" spans="1:7" x14ac:dyDescent="0.35">
      <c r="A177" s="68" t="s">
        <v>169</v>
      </c>
      <c r="B177" s="61" t="str">
        <f t="shared" si="8"/>
        <v>2020</v>
      </c>
      <c r="C177" s="86">
        <v>24749</v>
      </c>
      <c r="D177" s="63">
        <v>2020</v>
      </c>
      <c r="E177" s="61">
        <v>176</v>
      </c>
      <c r="F177" s="96">
        <v>1.0057927338780821</v>
      </c>
      <c r="G177" s="50">
        <f t="shared" si="7"/>
        <v>24606.461317904061</v>
      </c>
    </row>
    <row r="178" spans="1:7" x14ac:dyDescent="0.35">
      <c r="A178" s="70" t="s">
        <v>170</v>
      </c>
      <c r="B178" s="61" t="str">
        <f t="shared" si="8"/>
        <v>2020</v>
      </c>
      <c r="C178" s="86">
        <v>24923</v>
      </c>
      <c r="D178" s="63">
        <v>2020</v>
      </c>
      <c r="E178" s="61">
        <v>177</v>
      </c>
      <c r="F178" s="96">
        <v>1.0311404366997561</v>
      </c>
      <c r="G178" s="50">
        <f t="shared" si="7"/>
        <v>24170.325508490358</v>
      </c>
    </row>
    <row r="179" spans="1:7" x14ac:dyDescent="0.35">
      <c r="A179" s="68" t="s">
        <v>171</v>
      </c>
      <c r="B179" s="61" t="str">
        <f t="shared" si="8"/>
        <v>2020</v>
      </c>
      <c r="C179" s="86">
        <v>25841</v>
      </c>
      <c r="D179" s="63">
        <v>2020</v>
      </c>
      <c r="E179" s="61">
        <v>178</v>
      </c>
      <c r="F179" s="96">
        <v>0.99647151229008235</v>
      </c>
      <c r="G179" s="50">
        <f t="shared" si="7"/>
        <v>25932.502516416585</v>
      </c>
    </row>
    <row r="180" spans="1:7" x14ac:dyDescent="0.35">
      <c r="A180" s="68" t="s">
        <v>172</v>
      </c>
      <c r="B180" s="61" t="str">
        <f t="shared" si="8"/>
        <v>2020</v>
      </c>
      <c r="C180" s="86">
        <v>26334</v>
      </c>
      <c r="D180" s="63">
        <v>2020</v>
      </c>
      <c r="E180" s="61">
        <v>179</v>
      </c>
      <c r="F180" s="96">
        <v>0.99924985141460465</v>
      </c>
      <c r="G180" s="50">
        <f t="shared" si="7"/>
        <v>26353.769242717259</v>
      </c>
    </row>
    <row r="181" spans="1:7" ht="15" thickBot="1" x14ac:dyDescent="0.4">
      <c r="A181" s="71" t="s">
        <v>173</v>
      </c>
      <c r="B181" s="72" t="str">
        <f t="shared" si="8"/>
        <v>2020</v>
      </c>
      <c r="C181" s="87">
        <v>25913</v>
      </c>
      <c r="D181" s="74">
        <v>2020</v>
      </c>
      <c r="E181" s="72">
        <v>180</v>
      </c>
      <c r="F181" s="101">
        <v>1.0121735261994504</v>
      </c>
      <c r="G181" s="55">
        <f t="shared" si="7"/>
        <v>25601.341399729321</v>
      </c>
    </row>
  </sheetData>
  <mergeCells count="1">
    <mergeCell ref="I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1979-4396-4521-9018-8FC4CC20B62B}">
  <dimension ref="A1:V181"/>
  <sheetViews>
    <sheetView workbookViewId="0">
      <selection activeCell="S1" sqref="S1:V5"/>
    </sheetView>
  </sheetViews>
  <sheetFormatPr defaultRowHeight="14.5" x14ac:dyDescent="0.35"/>
  <cols>
    <col min="1" max="1" width="11.08984375" bestFit="1" customWidth="1"/>
    <col min="2" max="2" width="4.81640625" bestFit="1" customWidth="1"/>
    <col min="3" max="3" width="22" style="7" bestFit="1" customWidth="1"/>
    <col min="4" max="4" width="4.81640625" bestFit="1" customWidth="1"/>
    <col min="5" max="5" width="10.7265625" bestFit="1" customWidth="1"/>
    <col min="6" max="6" width="3.54296875" bestFit="1" customWidth="1"/>
    <col min="7" max="7" width="3.81640625" bestFit="1" customWidth="1"/>
    <col min="8" max="8" width="4.26953125" bestFit="1" customWidth="1"/>
    <col min="9" max="9" width="3.81640625" bestFit="1" customWidth="1"/>
    <col min="10" max="10" width="4.453125" bestFit="1" customWidth="1"/>
    <col min="11" max="11" width="3.6328125" bestFit="1" customWidth="1"/>
    <col min="12" max="12" width="3" bestFit="1" customWidth="1"/>
    <col min="13" max="13" width="4" bestFit="1" customWidth="1"/>
    <col min="14" max="14" width="3.81640625" bestFit="1" customWidth="1"/>
    <col min="15" max="15" width="3.6328125" bestFit="1" customWidth="1"/>
    <col min="16" max="16" width="4.08984375" bestFit="1" customWidth="1"/>
    <col min="18" max="18" width="3.90625" bestFit="1" customWidth="1"/>
  </cols>
  <sheetData>
    <row r="1" spans="1:22" ht="15" thickBot="1" x14ac:dyDescent="0.4">
      <c r="A1" s="76" t="s">
        <v>174</v>
      </c>
      <c r="B1" s="77" t="s">
        <v>175</v>
      </c>
      <c r="C1" s="83" t="s">
        <v>4</v>
      </c>
      <c r="D1" s="77" t="s">
        <v>175</v>
      </c>
      <c r="E1" s="77" t="s">
        <v>231</v>
      </c>
      <c r="F1" s="77" t="s">
        <v>222</v>
      </c>
      <c r="G1" s="77" t="s">
        <v>223</v>
      </c>
      <c r="H1" s="77" t="s">
        <v>224</v>
      </c>
      <c r="I1" s="77" t="s">
        <v>225</v>
      </c>
      <c r="J1" s="77" t="s">
        <v>226</v>
      </c>
      <c r="K1" s="77" t="s">
        <v>227</v>
      </c>
      <c r="L1" s="77" t="s">
        <v>228</v>
      </c>
      <c r="M1" s="77" t="s">
        <v>217</v>
      </c>
      <c r="N1" s="77" t="s">
        <v>218</v>
      </c>
      <c r="O1" s="77" t="s">
        <v>219</v>
      </c>
      <c r="P1" s="77" t="s">
        <v>220</v>
      </c>
      <c r="Q1" s="105"/>
      <c r="R1" s="79" t="s">
        <v>221</v>
      </c>
      <c r="S1" s="128" t="s">
        <v>247</v>
      </c>
      <c r="T1" s="129"/>
      <c r="U1" s="129"/>
      <c r="V1" s="130"/>
    </row>
    <row r="2" spans="1:22" x14ac:dyDescent="0.35">
      <c r="A2" s="60" t="s">
        <v>0</v>
      </c>
      <c r="B2" s="61" t="str">
        <f t="shared" ref="B2:B33" si="0">MID(A2,6,4)</f>
        <v>2005</v>
      </c>
      <c r="C2" s="84">
        <v>14615</v>
      </c>
      <c r="D2" s="63">
        <v>2005</v>
      </c>
      <c r="E2" s="61">
        <f>D2*D2</f>
        <v>4020025</v>
      </c>
      <c r="F2" s="61">
        <v>0</v>
      </c>
      <c r="G2" s="61">
        <v>0</v>
      </c>
      <c r="H2" s="61">
        <v>0</v>
      </c>
      <c r="I2" s="61">
        <v>0</v>
      </c>
      <c r="J2" s="61">
        <v>0</v>
      </c>
      <c r="K2" s="61">
        <v>0</v>
      </c>
      <c r="L2" s="61">
        <v>0</v>
      </c>
      <c r="M2" s="61">
        <v>0</v>
      </c>
      <c r="N2" s="61">
        <v>1</v>
      </c>
      <c r="O2" s="61">
        <v>0</v>
      </c>
      <c r="P2" s="61">
        <v>0</v>
      </c>
      <c r="R2" s="64">
        <v>0</v>
      </c>
      <c r="S2" s="131"/>
      <c r="T2" s="132"/>
      <c r="U2" s="132"/>
      <c r="V2" s="133"/>
    </row>
    <row r="3" spans="1:22" x14ac:dyDescent="0.35">
      <c r="A3" s="60" t="s">
        <v>1</v>
      </c>
      <c r="B3" s="61" t="str">
        <f t="shared" si="0"/>
        <v>2005</v>
      </c>
      <c r="C3" s="84">
        <v>14846</v>
      </c>
      <c r="D3" s="63">
        <v>2005</v>
      </c>
      <c r="E3" s="61">
        <f t="shared" ref="E3:E66" si="1">D3*D3</f>
        <v>4020025</v>
      </c>
      <c r="F3" s="61">
        <v>0</v>
      </c>
      <c r="G3" s="61">
        <v>0</v>
      </c>
      <c r="H3" s="61">
        <v>0</v>
      </c>
      <c r="I3" s="61">
        <v>0</v>
      </c>
      <c r="J3" s="61">
        <v>0</v>
      </c>
      <c r="K3" s="61">
        <v>0</v>
      </c>
      <c r="L3" s="61">
        <v>0</v>
      </c>
      <c r="M3" s="61">
        <v>0</v>
      </c>
      <c r="N3" s="61">
        <v>0</v>
      </c>
      <c r="O3" s="61">
        <v>1</v>
      </c>
      <c r="P3" s="61">
        <v>0</v>
      </c>
      <c r="R3" s="64">
        <v>0</v>
      </c>
      <c r="S3" s="131"/>
      <c r="T3" s="132"/>
      <c r="U3" s="132"/>
      <c r="V3" s="133"/>
    </row>
    <row r="4" spans="1:22" x14ac:dyDescent="0.35">
      <c r="A4" s="60" t="s">
        <v>2</v>
      </c>
      <c r="B4" s="61" t="str">
        <f t="shared" si="0"/>
        <v>2005</v>
      </c>
      <c r="C4" s="84">
        <v>14885</v>
      </c>
      <c r="D4" s="63">
        <v>2005</v>
      </c>
      <c r="E4" s="61">
        <f t="shared" si="1"/>
        <v>4020025</v>
      </c>
      <c r="F4" s="61">
        <v>0</v>
      </c>
      <c r="G4" s="61">
        <v>0</v>
      </c>
      <c r="H4" s="61">
        <v>0</v>
      </c>
      <c r="I4" s="61">
        <v>0</v>
      </c>
      <c r="J4" s="61">
        <v>0</v>
      </c>
      <c r="K4" s="61">
        <v>0</v>
      </c>
      <c r="L4" s="61">
        <v>0</v>
      </c>
      <c r="M4" s="61">
        <v>0</v>
      </c>
      <c r="N4" s="61">
        <v>0</v>
      </c>
      <c r="O4" s="61">
        <v>0</v>
      </c>
      <c r="P4" s="61">
        <v>1</v>
      </c>
      <c r="R4" s="64">
        <v>0</v>
      </c>
      <c r="S4" s="131"/>
      <c r="T4" s="132"/>
      <c r="U4" s="132"/>
      <c r="V4" s="133"/>
    </row>
    <row r="5" spans="1:22" ht="15" thickBot="1" x14ac:dyDescent="0.4">
      <c r="A5" s="60" t="s">
        <v>3</v>
      </c>
      <c r="B5" s="61" t="str">
        <f t="shared" si="0"/>
        <v>2005</v>
      </c>
      <c r="C5" s="84">
        <v>17103</v>
      </c>
      <c r="D5" s="63">
        <v>2005</v>
      </c>
      <c r="E5" s="61">
        <f t="shared" si="1"/>
        <v>4020025</v>
      </c>
      <c r="F5" s="61">
        <v>0</v>
      </c>
      <c r="G5" s="61">
        <v>0</v>
      </c>
      <c r="H5" s="61">
        <v>0</v>
      </c>
      <c r="I5" s="61">
        <v>0</v>
      </c>
      <c r="J5" s="61">
        <v>0</v>
      </c>
      <c r="K5" s="61">
        <v>0</v>
      </c>
      <c r="L5" s="61">
        <v>0</v>
      </c>
      <c r="M5" s="61">
        <v>0</v>
      </c>
      <c r="N5" s="61">
        <v>0</v>
      </c>
      <c r="O5" s="61">
        <v>0</v>
      </c>
      <c r="P5" s="61">
        <v>0</v>
      </c>
      <c r="R5" s="64">
        <v>1</v>
      </c>
      <c r="S5" s="134"/>
      <c r="T5" s="135"/>
      <c r="U5" s="135"/>
      <c r="V5" s="136"/>
    </row>
    <row r="6" spans="1:22" x14ac:dyDescent="0.35">
      <c r="A6" s="60" t="s">
        <v>5</v>
      </c>
      <c r="B6" s="61" t="str">
        <f t="shared" si="0"/>
        <v>2006</v>
      </c>
      <c r="C6" s="84">
        <v>15257</v>
      </c>
      <c r="D6" s="63">
        <v>2006</v>
      </c>
      <c r="E6" s="61">
        <f t="shared" si="1"/>
        <v>4024036</v>
      </c>
      <c r="F6" s="61">
        <v>1</v>
      </c>
      <c r="G6" s="61">
        <v>0</v>
      </c>
      <c r="H6" s="61">
        <v>0</v>
      </c>
      <c r="I6" s="61">
        <v>0</v>
      </c>
      <c r="J6" s="61">
        <v>0</v>
      </c>
      <c r="K6" s="61">
        <v>0</v>
      </c>
      <c r="L6" s="61">
        <v>0</v>
      </c>
      <c r="M6" s="61">
        <v>0</v>
      </c>
      <c r="N6" s="61">
        <v>0</v>
      </c>
      <c r="O6" s="61">
        <v>0</v>
      </c>
      <c r="P6" s="61">
        <v>0</v>
      </c>
      <c r="R6" s="64">
        <v>0</v>
      </c>
    </row>
    <row r="7" spans="1:22" x14ac:dyDescent="0.35">
      <c r="A7" s="60" t="s">
        <v>6</v>
      </c>
      <c r="B7" s="61" t="str">
        <f t="shared" si="0"/>
        <v>2006</v>
      </c>
      <c r="C7" s="84">
        <v>14681</v>
      </c>
      <c r="D7" s="63">
        <v>2006</v>
      </c>
      <c r="E7" s="61">
        <f t="shared" si="1"/>
        <v>4024036</v>
      </c>
      <c r="F7" s="61">
        <v>0</v>
      </c>
      <c r="G7" s="61">
        <v>1</v>
      </c>
      <c r="H7" s="61">
        <v>0</v>
      </c>
      <c r="I7" s="61">
        <v>0</v>
      </c>
      <c r="J7" s="61">
        <v>0</v>
      </c>
      <c r="K7" s="61">
        <v>0</v>
      </c>
      <c r="L7" s="61">
        <v>0</v>
      </c>
      <c r="M7" s="61">
        <v>0</v>
      </c>
      <c r="N7" s="61">
        <v>0</v>
      </c>
      <c r="O7" s="61">
        <v>0</v>
      </c>
      <c r="P7" s="61">
        <v>0</v>
      </c>
      <c r="R7" s="64">
        <v>0</v>
      </c>
    </row>
    <row r="8" spans="1:22" x14ac:dyDescent="0.35">
      <c r="A8" s="60" t="s">
        <v>7</v>
      </c>
      <c r="B8" s="61" t="str">
        <f t="shared" si="0"/>
        <v>2006</v>
      </c>
      <c r="C8" s="84">
        <v>16174</v>
      </c>
      <c r="D8" s="63">
        <v>2006</v>
      </c>
      <c r="E8" s="61">
        <f t="shared" si="1"/>
        <v>4024036</v>
      </c>
      <c r="F8" s="61">
        <v>0</v>
      </c>
      <c r="G8" s="61">
        <v>0</v>
      </c>
      <c r="H8" s="61">
        <v>1</v>
      </c>
      <c r="I8" s="61">
        <v>0</v>
      </c>
      <c r="J8" s="61">
        <v>0</v>
      </c>
      <c r="K8" s="61">
        <v>0</v>
      </c>
      <c r="L8" s="61">
        <v>0</v>
      </c>
      <c r="M8" s="61">
        <v>0</v>
      </c>
      <c r="N8" s="61">
        <v>0</v>
      </c>
      <c r="O8" s="61">
        <v>0</v>
      </c>
      <c r="P8" s="61">
        <v>0</v>
      </c>
      <c r="R8" s="64">
        <v>0</v>
      </c>
    </row>
    <row r="9" spans="1:22" x14ac:dyDescent="0.35">
      <c r="A9" s="60" t="s">
        <v>8</v>
      </c>
      <c r="B9" s="61" t="str">
        <f t="shared" si="0"/>
        <v>2006</v>
      </c>
      <c r="C9" s="84">
        <v>15225</v>
      </c>
      <c r="D9" s="63">
        <v>2006</v>
      </c>
      <c r="E9" s="61">
        <f t="shared" si="1"/>
        <v>4024036</v>
      </c>
      <c r="F9" s="61">
        <v>0</v>
      </c>
      <c r="G9" s="61">
        <v>0</v>
      </c>
      <c r="H9" s="61">
        <v>0</v>
      </c>
      <c r="I9" s="61">
        <v>1</v>
      </c>
      <c r="J9" s="61">
        <v>0</v>
      </c>
      <c r="K9" s="61">
        <v>0</v>
      </c>
      <c r="L9" s="61">
        <v>0</v>
      </c>
      <c r="M9" s="61">
        <v>0</v>
      </c>
      <c r="N9" s="61">
        <v>0</v>
      </c>
      <c r="O9" s="61">
        <v>0</v>
      </c>
      <c r="P9" s="61">
        <v>0</v>
      </c>
      <c r="R9" s="64">
        <v>0</v>
      </c>
    </row>
    <row r="10" spans="1:22" x14ac:dyDescent="0.35">
      <c r="A10" s="60" t="s">
        <v>177</v>
      </c>
      <c r="B10" s="61" t="str">
        <f t="shared" si="0"/>
        <v>2006</v>
      </c>
      <c r="C10" s="84">
        <v>16271</v>
      </c>
      <c r="D10" s="63">
        <v>2006</v>
      </c>
      <c r="E10" s="61">
        <f t="shared" si="1"/>
        <v>4024036</v>
      </c>
      <c r="F10" s="61">
        <v>0</v>
      </c>
      <c r="G10" s="61">
        <v>0</v>
      </c>
      <c r="H10" s="61">
        <v>0</v>
      </c>
      <c r="I10" s="61">
        <v>0</v>
      </c>
      <c r="J10" s="61">
        <v>1</v>
      </c>
      <c r="K10" s="61">
        <v>0</v>
      </c>
      <c r="L10" s="61">
        <v>0</v>
      </c>
      <c r="M10" s="61">
        <v>0</v>
      </c>
      <c r="N10" s="61">
        <v>0</v>
      </c>
      <c r="O10" s="61">
        <v>0</v>
      </c>
      <c r="P10" s="61">
        <v>0</v>
      </c>
      <c r="R10" s="64">
        <v>0</v>
      </c>
    </row>
    <row r="11" spans="1:22" x14ac:dyDescent="0.35">
      <c r="A11" s="60" t="s">
        <v>9</v>
      </c>
      <c r="B11" s="61" t="str">
        <f t="shared" si="0"/>
        <v>2006</v>
      </c>
      <c r="C11" s="84">
        <v>15720</v>
      </c>
      <c r="D11" s="63">
        <v>2006</v>
      </c>
      <c r="E11" s="61">
        <f t="shared" si="1"/>
        <v>4024036</v>
      </c>
      <c r="F11" s="61">
        <v>0</v>
      </c>
      <c r="G11" s="61">
        <v>0</v>
      </c>
      <c r="H11" s="61">
        <v>0</v>
      </c>
      <c r="I11" s="61">
        <v>0</v>
      </c>
      <c r="J11" s="61">
        <v>0</v>
      </c>
      <c r="K11" s="61">
        <v>1</v>
      </c>
      <c r="L11" s="61">
        <v>0</v>
      </c>
      <c r="M11" s="61">
        <v>0</v>
      </c>
      <c r="N11" s="61">
        <v>0</v>
      </c>
      <c r="O11" s="61">
        <v>0</v>
      </c>
      <c r="P11" s="61">
        <v>0</v>
      </c>
      <c r="R11" s="64">
        <v>0</v>
      </c>
    </row>
    <row r="12" spans="1:22" x14ac:dyDescent="0.35">
      <c r="A12" s="60" t="s">
        <v>10</v>
      </c>
      <c r="B12" s="61" t="str">
        <f t="shared" si="0"/>
        <v>2006</v>
      </c>
      <c r="C12" s="84">
        <v>15426</v>
      </c>
      <c r="D12" s="63">
        <v>2006</v>
      </c>
      <c r="E12" s="61">
        <f t="shared" si="1"/>
        <v>4024036</v>
      </c>
      <c r="F12" s="61">
        <v>0</v>
      </c>
      <c r="G12" s="61">
        <v>0</v>
      </c>
      <c r="H12" s="61">
        <v>0</v>
      </c>
      <c r="I12" s="61">
        <v>0</v>
      </c>
      <c r="J12" s="61">
        <v>0</v>
      </c>
      <c r="K12" s="61">
        <v>0</v>
      </c>
      <c r="L12" s="61">
        <v>1</v>
      </c>
      <c r="M12" s="61">
        <v>0</v>
      </c>
      <c r="N12" s="61">
        <v>0</v>
      </c>
      <c r="O12" s="61">
        <v>0</v>
      </c>
      <c r="P12" s="61">
        <v>0</v>
      </c>
      <c r="R12" s="64">
        <v>0</v>
      </c>
    </row>
    <row r="13" spans="1:22" x14ac:dyDescent="0.35">
      <c r="A13" s="60" t="s">
        <v>11</v>
      </c>
      <c r="B13" s="61" t="str">
        <f t="shared" si="0"/>
        <v>2006</v>
      </c>
      <c r="C13" s="84">
        <v>16092</v>
      </c>
      <c r="D13" s="63">
        <v>2006</v>
      </c>
      <c r="E13" s="61">
        <f t="shared" si="1"/>
        <v>4024036</v>
      </c>
      <c r="F13" s="61">
        <v>0</v>
      </c>
      <c r="G13" s="61">
        <v>0</v>
      </c>
      <c r="H13" s="61">
        <v>0</v>
      </c>
      <c r="I13" s="61">
        <v>0</v>
      </c>
      <c r="J13" s="61">
        <v>0</v>
      </c>
      <c r="K13" s="61">
        <v>0</v>
      </c>
      <c r="L13" s="61">
        <v>0</v>
      </c>
      <c r="M13" s="61">
        <v>1</v>
      </c>
      <c r="N13" s="61">
        <v>0</v>
      </c>
      <c r="O13" s="61">
        <v>0</v>
      </c>
      <c r="P13" s="61">
        <v>0</v>
      </c>
      <c r="R13" s="64">
        <v>0</v>
      </c>
    </row>
    <row r="14" spans="1:22" x14ac:dyDescent="0.35">
      <c r="A14" s="60" t="s">
        <v>12</v>
      </c>
      <c r="B14" s="61" t="str">
        <f t="shared" si="0"/>
        <v>2006</v>
      </c>
      <c r="C14" s="84">
        <v>15483</v>
      </c>
      <c r="D14" s="63">
        <v>2006</v>
      </c>
      <c r="E14" s="61">
        <f t="shared" si="1"/>
        <v>4024036</v>
      </c>
      <c r="F14" s="61">
        <v>0</v>
      </c>
      <c r="G14" s="61">
        <v>0</v>
      </c>
      <c r="H14" s="61">
        <v>0</v>
      </c>
      <c r="I14" s="61">
        <v>0</v>
      </c>
      <c r="J14" s="61">
        <v>0</v>
      </c>
      <c r="K14" s="61">
        <v>0</v>
      </c>
      <c r="L14" s="61">
        <v>0</v>
      </c>
      <c r="M14" s="61">
        <v>0</v>
      </c>
      <c r="N14" s="61">
        <v>1</v>
      </c>
      <c r="O14" s="61">
        <v>0</v>
      </c>
      <c r="P14" s="61">
        <v>0</v>
      </c>
      <c r="R14" s="64">
        <v>0</v>
      </c>
    </row>
    <row r="15" spans="1:22" x14ac:dyDescent="0.35">
      <c r="A15" s="60" t="s">
        <v>13</v>
      </c>
      <c r="B15" s="61" t="str">
        <f t="shared" si="0"/>
        <v>2006</v>
      </c>
      <c r="C15" s="84">
        <v>16382</v>
      </c>
      <c r="D15" s="63">
        <v>2006</v>
      </c>
      <c r="E15" s="61">
        <f t="shared" si="1"/>
        <v>4024036</v>
      </c>
      <c r="F15" s="61">
        <v>0</v>
      </c>
      <c r="G15" s="61">
        <v>0</v>
      </c>
      <c r="H15" s="61">
        <v>0</v>
      </c>
      <c r="I15" s="61">
        <v>0</v>
      </c>
      <c r="J15" s="61">
        <v>0</v>
      </c>
      <c r="K15" s="61">
        <v>0</v>
      </c>
      <c r="L15" s="61">
        <v>0</v>
      </c>
      <c r="M15" s="61">
        <v>0</v>
      </c>
      <c r="N15" s="61">
        <v>0</v>
      </c>
      <c r="O15" s="61">
        <v>1</v>
      </c>
      <c r="P15" s="61">
        <v>0</v>
      </c>
      <c r="R15" s="64">
        <v>0</v>
      </c>
    </row>
    <row r="16" spans="1:22" x14ac:dyDescent="0.35">
      <c r="A16" s="60" t="s">
        <v>14</v>
      </c>
      <c r="B16" s="61" t="str">
        <f t="shared" si="0"/>
        <v>2006</v>
      </c>
      <c r="C16" s="84">
        <v>16252</v>
      </c>
      <c r="D16" s="63">
        <v>2006</v>
      </c>
      <c r="E16" s="61">
        <f t="shared" si="1"/>
        <v>4024036</v>
      </c>
      <c r="F16" s="61">
        <v>0</v>
      </c>
      <c r="G16" s="61">
        <v>0</v>
      </c>
      <c r="H16" s="61">
        <v>0</v>
      </c>
      <c r="I16" s="61">
        <v>0</v>
      </c>
      <c r="J16" s="61">
        <v>0</v>
      </c>
      <c r="K16" s="61">
        <v>0</v>
      </c>
      <c r="L16" s="61">
        <v>0</v>
      </c>
      <c r="M16" s="61">
        <v>0</v>
      </c>
      <c r="N16" s="61">
        <v>0</v>
      </c>
      <c r="O16" s="61">
        <v>0</v>
      </c>
      <c r="P16" s="61">
        <v>1</v>
      </c>
      <c r="R16" s="64">
        <v>0</v>
      </c>
    </row>
    <row r="17" spans="1:18" x14ac:dyDescent="0.35">
      <c r="A17" s="60" t="s">
        <v>15</v>
      </c>
      <c r="B17" s="61" t="str">
        <f t="shared" si="0"/>
        <v>2006</v>
      </c>
      <c r="C17" s="84">
        <v>18055</v>
      </c>
      <c r="D17" s="63">
        <v>2006</v>
      </c>
      <c r="E17" s="61">
        <f t="shared" si="1"/>
        <v>4024036</v>
      </c>
      <c r="F17" s="61">
        <v>0</v>
      </c>
      <c r="G17" s="61">
        <v>0</v>
      </c>
      <c r="H17" s="61">
        <v>0</v>
      </c>
      <c r="I17" s="61">
        <v>0</v>
      </c>
      <c r="J17" s="61">
        <v>0</v>
      </c>
      <c r="K17" s="61">
        <v>0</v>
      </c>
      <c r="L17" s="61">
        <v>0</v>
      </c>
      <c r="M17" s="61">
        <v>0</v>
      </c>
      <c r="N17" s="61">
        <v>0</v>
      </c>
      <c r="O17" s="61">
        <v>0</v>
      </c>
      <c r="P17" s="61">
        <v>0</v>
      </c>
      <c r="R17" s="64">
        <v>1</v>
      </c>
    </row>
    <row r="18" spans="1:18" x14ac:dyDescent="0.35">
      <c r="A18" s="60" t="s">
        <v>16</v>
      </c>
      <c r="B18" s="61" t="str">
        <f t="shared" si="0"/>
        <v>2007</v>
      </c>
      <c r="C18" s="84">
        <v>16985</v>
      </c>
      <c r="D18" s="63">
        <v>2007</v>
      </c>
      <c r="E18" s="61">
        <f t="shared" si="1"/>
        <v>4028049</v>
      </c>
      <c r="F18" s="61">
        <v>1</v>
      </c>
      <c r="G18" s="61">
        <v>0</v>
      </c>
      <c r="H18" s="61">
        <v>0</v>
      </c>
      <c r="I18" s="61">
        <v>0</v>
      </c>
      <c r="J18" s="61">
        <v>0</v>
      </c>
      <c r="K18" s="61">
        <v>0</v>
      </c>
      <c r="L18" s="61">
        <v>0</v>
      </c>
      <c r="M18" s="61">
        <v>0</v>
      </c>
      <c r="N18" s="61">
        <v>0</v>
      </c>
      <c r="O18" s="61">
        <v>0</v>
      </c>
      <c r="P18" s="61">
        <v>0</v>
      </c>
      <c r="R18" s="64">
        <v>0</v>
      </c>
    </row>
    <row r="19" spans="1:18" x14ac:dyDescent="0.35">
      <c r="A19" s="60" t="s">
        <v>17</v>
      </c>
      <c r="B19" s="61" t="str">
        <f t="shared" si="0"/>
        <v>2007</v>
      </c>
      <c r="C19" s="84">
        <v>15822</v>
      </c>
      <c r="D19" s="63">
        <v>2007</v>
      </c>
      <c r="E19" s="61">
        <f t="shared" si="1"/>
        <v>4028049</v>
      </c>
      <c r="F19" s="61">
        <v>0</v>
      </c>
      <c r="G19" s="61">
        <v>1</v>
      </c>
      <c r="H19" s="61">
        <v>0</v>
      </c>
      <c r="I19" s="61">
        <v>0</v>
      </c>
      <c r="J19" s="61">
        <v>0</v>
      </c>
      <c r="K19" s="61">
        <v>0</v>
      </c>
      <c r="L19" s="61">
        <v>0</v>
      </c>
      <c r="M19" s="61">
        <v>0</v>
      </c>
      <c r="N19" s="61">
        <v>0</v>
      </c>
      <c r="O19" s="61">
        <v>0</v>
      </c>
      <c r="P19" s="61">
        <v>0</v>
      </c>
      <c r="R19" s="64">
        <v>0</v>
      </c>
    </row>
    <row r="20" spans="1:18" x14ac:dyDescent="0.35">
      <c r="A20" s="60" t="s">
        <v>18</v>
      </c>
      <c r="B20" s="61" t="str">
        <f t="shared" si="0"/>
        <v>2007</v>
      </c>
      <c r="C20" s="84">
        <v>17258</v>
      </c>
      <c r="D20" s="63">
        <v>2007</v>
      </c>
      <c r="E20" s="61">
        <f t="shared" si="1"/>
        <v>4028049</v>
      </c>
      <c r="F20" s="61">
        <v>0</v>
      </c>
      <c r="G20" s="61">
        <v>0</v>
      </c>
      <c r="H20" s="61">
        <v>1</v>
      </c>
      <c r="I20" s="61">
        <v>0</v>
      </c>
      <c r="J20" s="61">
        <v>0</v>
      </c>
      <c r="K20" s="61">
        <v>0</v>
      </c>
      <c r="L20" s="61">
        <v>0</v>
      </c>
      <c r="M20" s="61">
        <v>0</v>
      </c>
      <c r="N20" s="61">
        <v>0</v>
      </c>
      <c r="O20" s="61">
        <v>0</v>
      </c>
      <c r="P20" s="61">
        <v>0</v>
      </c>
      <c r="R20" s="64">
        <v>0</v>
      </c>
    </row>
    <row r="21" spans="1:18" x14ac:dyDescent="0.35">
      <c r="A21" s="60" t="s">
        <v>19</v>
      </c>
      <c r="B21" s="61" t="str">
        <f t="shared" si="0"/>
        <v>2007</v>
      </c>
      <c r="C21" s="84">
        <v>16532</v>
      </c>
      <c r="D21" s="63">
        <v>2007</v>
      </c>
      <c r="E21" s="61">
        <f t="shared" si="1"/>
        <v>4028049</v>
      </c>
      <c r="F21" s="61">
        <v>0</v>
      </c>
      <c r="G21" s="61">
        <v>0</v>
      </c>
      <c r="H21" s="61">
        <v>0</v>
      </c>
      <c r="I21" s="61">
        <v>1</v>
      </c>
      <c r="J21" s="61">
        <v>0</v>
      </c>
      <c r="K21" s="61">
        <v>0</v>
      </c>
      <c r="L21" s="61">
        <v>0</v>
      </c>
      <c r="M21" s="61">
        <v>0</v>
      </c>
      <c r="N21" s="61">
        <v>0</v>
      </c>
      <c r="O21" s="61">
        <v>0</v>
      </c>
      <c r="P21" s="61">
        <v>0</v>
      </c>
      <c r="R21" s="64">
        <v>0</v>
      </c>
    </row>
    <row r="22" spans="1:18" x14ac:dyDescent="0.35">
      <c r="A22" s="60" t="s">
        <v>178</v>
      </c>
      <c r="B22" s="61" t="str">
        <f t="shared" si="0"/>
        <v>2007</v>
      </c>
      <c r="C22" s="84">
        <v>17279</v>
      </c>
      <c r="D22" s="63">
        <v>2007</v>
      </c>
      <c r="E22" s="61">
        <f t="shared" si="1"/>
        <v>4028049</v>
      </c>
      <c r="F22" s="61">
        <v>0</v>
      </c>
      <c r="G22" s="61">
        <v>0</v>
      </c>
      <c r="H22" s="61">
        <v>0</v>
      </c>
      <c r="I22" s="61">
        <v>0</v>
      </c>
      <c r="J22" s="61">
        <v>1</v>
      </c>
      <c r="K22" s="61">
        <v>0</v>
      </c>
      <c r="L22" s="61">
        <v>0</v>
      </c>
      <c r="M22" s="61">
        <v>0</v>
      </c>
      <c r="N22" s="61">
        <v>0</v>
      </c>
      <c r="O22" s="61">
        <v>0</v>
      </c>
      <c r="P22" s="61">
        <v>0</v>
      </c>
      <c r="R22" s="64">
        <v>0</v>
      </c>
    </row>
    <row r="23" spans="1:18" x14ac:dyDescent="0.35">
      <c r="A23" s="60" t="s">
        <v>20</v>
      </c>
      <c r="B23" s="61" t="str">
        <f t="shared" si="0"/>
        <v>2007</v>
      </c>
      <c r="C23" s="84">
        <v>16497</v>
      </c>
      <c r="D23" s="63">
        <v>2007</v>
      </c>
      <c r="E23" s="61">
        <f t="shared" si="1"/>
        <v>4028049</v>
      </c>
      <c r="F23" s="61">
        <v>0</v>
      </c>
      <c r="G23" s="61">
        <v>0</v>
      </c>
      <c r="H23" s="61">
        <v>0</v>
      </c>
      <c r="I23" s="61">
        <v>0</v>
      </c>
      <c r="J23" s="61">
        <v>0</v>
      </c>
      <c r="K23" s="61">
        <v>1</v>
      </c>
      <c r="L23" s="61">
        <v>0</v>
      </c>
      <c r="M23" s="61">
        <v>0</v>
      </c>
      <c r="N23" s="61">
        <v>0</v>
      </c>
      <c r="O23" s="61">
        <v>0</v>
      </c>
      <c r="P23" s="61">
        <v>0</v>
      </c>
      <c r="R23" s="64">
        <v>0</v>
      </c>
    </row>
    <row r="24" spans="1:18" x14ac:dyDescent="0.35">
      <c r="A24" s="60" t="s">
        <v>21</v>
      </c>
      <c r="B24" s="61" t="str">
        <f t="shared" si="0"/>
        <v>2007</v>
      </c>
      <c r="C24" s="84">
        <v>16542</v>
      </c>
      <c r="D24" s="63">
        <v>2007</v>
      </c>
      <c r="E24" s="61">
        <f t="shared" si="1"/>
        <v>4028049</v>
      </c>
      <c r="F24" s="61">
        <v>0</v>
      </c>
      <c r="G24" s="61">
        <v>0</v>
      </c>
      <c r="H24" s="61">
        <v>0</v>
      </c>
      <c r="I24" s="61">
        <v>0</v>
      </c>
      <c r="J24" s="61">
        <v>0</v>
      </c>
      <c r="K24" s="61">
        <v>0</v>
      </c>
      <c r="L24" s="61">
        <v>1</v>
      </c>
      <c r="M24" s="61">
        <v>0</v>
      </c>
      <c r="N24" s="61">
        <v>0</v>
      </c>
      <c r="O24" s="61">
        <v>0</v>
      </c>
      <c r="P24" s="61">
        <v>0</v>
      </c>
      <c r="R24" s="64">
        <v>0</v>
      </c>
    </row>
    <row r="25" spans="1:18" x14ac:dyDescent="0.35">
      <c r="A25" s="60" t="s">
        <v>22</v>
      </c>
      <c r="B25" s="61" t="str">
        <f t="shared" si="0"/>
        <v>2007</v>
      </c>
      <c r="C25" s="84">
        <v>16992</v>
      </c>
      <c r="D25" s="63">
        <v>2007</v>
      </c>
      <c r="E25" s="61">
        <f t="shared" si="1"/>
        <v>4028049</v>
      </c>
      <c r="F25" s="61">
        <v>0</v>
      </c>
      <c r="G25" s="61">
        <v>0</v>
      </c>
      <c r="H25" s="61">
        <v>0</v>
      </c>
      <c r="I25" s="61">
        <v>0</v>
      </c>
      <c r="J25" s="61">
        <v>0</v>
      </c>
      <c r="K25" s="61">
        <v>0</v>
      </c>
      <c r="L25" s="61">
        <v>0</v>
      </c>
      <c r="M25" s="61">
        <v>1</v>
      </c>
      <c r="N25" s="61">
        <v>0</v>
      </c>
      <c r="O25" s="61">
        <v>0</v>
      </c>
      <c r="P25" s="61">
        <v>0</v>
      </c>
      <c r="R25" s="64">
        <v>0</v>
      </c>
    </row>
    <row r="26" spans="1:18" x14ac:dyDescent="0.35">
      <c r="A26" s="60" t="s">
        <v>23</v>
      </c>
      <c r="B26" s="61" t="str">
        <f t="shared" si="0"/>
        <v>2007</v>
      </c>
      <c r="C26" s="84">
        <v>15966</v>
      </c>
      <c r="D26" s="63">
        <v>2007</v>
      </c>
      <c r="E26" s="61">
        <f t="shared" si="1"/>
        <v>4028049</v>
      </c>
      <c r="F26" s="61">
        <v>0</v>
      </c>
      <c r="G26" s="61">
        <v>0</v>
      </c>
      <c r="H26" s="61">
        <v>0</v>
      </c>
      <c r="I26" s="61">
        <v>0</v>
      </c>
      <c r="J26" s="61">
        <v>0</v>
      </c>
      <c r="K26" s="61">
        <v>0</v>
      </c>
      <c r="L26" s="61">
        <v>0</v>
      </c>
      <c r="M26" s="61">
        <v>0</v>
      </c>
      <c r="N26" s="61">
        <v>1</v>
      </c>
      <c r="O26" s="61">
        <v>0</v>
      </c>
      <c r="P26" s="61">
        <v>0</v>
      </c>
      <c r="R26" s="64">
        <v>0</v>
      </c>
    </row>
    <row r="27" spans="1:18" x14ac:dyDescent="0.35">
      <c r="A27" s="60" t="s">
        <v>24</v>
      </c>
      <c r="B27" s="61" t="str">
        <f t="shared" si="0"/>
        <v>2007</v>
      </c>
      <c r="C27" s="84">
        <v>17264</v>
      </c>
      <c r="D27" s="63">
        <v>2007</v>
      </c>
      <c r="E27" s="61">
        <f t="shared" si="1"/>
        <v>4028049</v>
      </c>
      <c r="F27" s="61">
        <v>0</v>
      </c>
      <c r="G27" s="61">
        <v>0</v>
      </c>
      <c r="H27" s="61">
        <v>0</v>
      </c>
      <c r="I27" s="61">
        <v>0</v>
      </c>
      <c r="J27" s="61">
        <v>0</v>
      </c>
      <c r="K27" s="61">
        <v>0</v>
      </c>
      <c r="L27" s="61">
        <v>0</v>
      </c>
      <c r="M27" s="61">
        <v>0</v>
      </c>
      <c r="N27" s="61">
        <v>0</v>
      </c>
      <c r="O27" s="61">
        <v>1</v>
      </c>
      <c r="P27" s="61">
        <v>0</v>
      </c>
      <c r="R27" s="64">
        <v>0</v>
      </c>
    </row>
    <row r="28" spans="1:18" x14ac:dyDescent="0.35">
      <c r="A28" s="60" t="s">
        <v>25</v>
      </c>
      <c r="B28" s="61" t="str">
        <f t="shared" si="0"/>
        <v>2007</v>
      </c>
      <c r="C28" s="84">
        <v>16713</v>
      </c>
      <c r="D28" s="63">
        <v>2007</v>
      </c>
      <c r="E28" s="61">
        <f t="shared" si="1"/>
        <v>4028049</v>
      </c>
      <c r="F28" s="61">
        <v>0</v>
      </c>
      <c r="G28" s="61">
        <v>0</v>
      </c>
      <c r="H28" s="61">
        <v>0</v>
      </c>
      <c r="I28" s="61">
        <v>0</v>
      </c>
      <c r="J28" s="61">
        <v>0</v>
      </c>
      <c r="K28" s="61">
        <v>0</v>
      </c>
      <c r="L28" s="61">
        <v>0</v>
      </c>
      <c r="M28" s="61">
        <v>0</v>
      </c>
      <c r="N28" s="61">
        <v>0</v>
      </c>
      <c r="O28" s="61">
        <v>0</v>
      </c>
      <c r="P28" s="61">
        <v>1</v>
      </c>
      <c r="R28" s="64">
        <v>0</v>
      </c>
    </row>
    <row r="29" spans="1:18" x14ac:dyDescent="0.35">
      <c r="A29" s="60" t="s">
        <v>26</v>
      </c>
      <c r="B29" s="61" t="str">
        <f t="shared" si="0"/>
        <v>2007</v>
      </c>
      <c r="C29" s="84">
        <v>18434</v>
      </c>
      <c r="D29" s="63">
        <v>2007</v>
      </c>
      <c r="E29" s="61">
        <f t="shared" si="1"/>
        <v>4028049</v>
      </c>
      <c r="F29" s="61">
        <v>0</v>
      </c>
      <c r="G29" s="61">
        <v>0</v>
      </c>
      <c r="H29" s="61">
        <v>0</v>
      </c>
      <c r="I29" s="61">
        <v>0</v>
      </c>
      <c r="J29" s="61">
        <v>0</v>
      </c>
      <c r="K29" s="61">
        <v>0</v>
      </c>
      <c r="L29" s="61">
        <v>0</v>
      </c>
      <c r="M29" s="61">
        <v>0</v>
      </c>
      <c r="N29" s="61">
        <v>0</v>
      </c>
      <c r="O29" s="61">
        <v>0</v>
      </c>
      <c r="P29" s="61">
        <v>0</v>
      </c>
      <c r="R29" s="64">
        <v>1</v>
      </c>
    </row>
    <row r="30" spans="1:18" x14ac:dyDescent="0.35">
      <c r="A30" s="60" t="s">
        <v>27</v>
      </c>
      <c r="B30" s="61" t="str">
        <f t="shared" si="0"/>
        <v>2008</v>
      </c>
      <c r="C30" s="84">
        <v>17449</v>
      </c>
      <c r="D30" s="63">
        <v>2008</v>
      </c>
      <c r="E30" s="61">
        <f t="shared" si="1"/>
        <v>4032064</v>
      </c>
      <c r="F30" s="61">
        <v>1</v>
      </c>
      <c r="G30" s="61">
        <v>0</v>
      </c>
      <c r="H30" s="61">
        <v>0</v>
      </c>
      <c r="I30" s="61">
        <v>0</v>
      </c>
      <c r="J30" s="61">
        <v>0</v>
      </c>
      <c r="K30" s="61">
        <v>0</v>
      </c>
      <c r="L30" s="61">
        <v>0</v>
      </c>
      <c r="M30" s="61">
        <v>0</v>
      </c>
      <c r="N30" s="61">
        <v>0</v>
      </c>
      <c r="O30" s="61">
        <v>0</v>
      </c>
      <c r="P30" s="61">
        <v>0</v>
      </c>
      <c r="R30" s="64">
        <v>0</v>
      </c>
    </row>
    <row r="31" spans="1:18" x14ac:dyDescent="0.35">
      <c r="A31" s="60" t="s">
        <v>28</v>
      </c>
      <c r="B31" s="61" t="str">
        <f t="shared" si="0"/>
        <v>2008</v>
      </c>
      <c r="C31" s="84">
        <v>17201</v>
      </c>
      <c r="D31" s="63">
        <v>2008</v>
      </c>
      <c r="E31" s="61">
        <f t="shared" si="1"/>
        <v>4032064</v>
      </c>
      <c r="F31" s="61">
        <v>0</v>
      </c>
      <c r="G31" s="61">
        <v>1</v>
      </c>
      <c r="H31" s="61">
        <v>0</v>
      </c>
      <c r="I31" s="61">
        <v>0</v>
      </c>
      <c r="J31" s="61">
        <v>0</v>
      </c>
      <c r="K31" s="61">
        <v>0</v>
      </c>
      <c r="L31" s="61">
        <v>0</v>
      </c>
      <c r="M31" s="61">
        <v>0</v>
      </c>
      <c r="N31" s="61">
        <v>0</v>
      </c>
      <c r="O31" s="61">
        <v>0</v>
      </c>
      <c r="P31" s="61">
        <v>0</v>
      </c>
      <c r="R31" s="64">
        <v>0</v>
      </c>
    </row>
    <row r="32" spans="1:18" x14ac:dyDescent="0.35">
      <c r="A32" s="60" t="s">
        <v>29</v>
      </c>
      <c r="B32" s="61" t="str">
        <f t="shared" si="0"/>
        <v>2008</v>
      </c>
      <c r="C32" s="84">
        <v>17719</v>
      </c>
      <c r="D32" s="63">
        <v>2008</v>
      </c>
      <c r="E32" s="61">
        <f t="shared" si="1"/>
        <v>4032064</v>
      </c>
      <c r="F32" s="61">
        <v>0</v>
      </c>
      <c r="G32" s="61">
        <v>0</v>
      </c>
      <c r="H32" s="61">
        <v>1</v>
      </c>
      <c r="I32" s="61">
        <v>0</v>
      </c>
      <c r="J32" s="61">
        <v>0</v>
      </c>
      <c r="K32" s="61">
        <v>0</v>
      </c>
      <c r="L32" s="61">
        <v>0</v>
      </c>
      <c r="M32" s="61">
        <v>0</v>
      </c>
      <c r="N32" s="61">
        <v>0</v>
      </c>
      <c r="O32" s="61">
        <v>0</v>
      </c>
      <c r="P32" s="61">
        <v>0</v>
      </c>
      <c r="R32" s="64">
        <v>0</v>
      </c>
    </row>
    <row r="33" spans="1:18" x14ac:dyDescent="0.35">
      <c r="A33" s="60" t="s">
        <v>30</v>
      </c>
      <c r="B33" s="61" t="str">
        <f t="shared" si="0"/>
        <v>2008</v>
      </c>
      <c r="C33" s="84">
        <v>17143</v>
      </c>
      <c r="D33" s="63">
        <v>2008</v>
      </c>
      <c r="E33" s="61">
        <f t="shared" si="1"/>
        <v>4032064</v>
      </c>
      <c r="F33" s="61">
        <v>0</v>
      </c>
      <c r="G33" s="61">
        <v>0</v>
      </c>
      <c r="H33" s="61">
        <v>0</v>
      </c>
      <c r="I33" s="61">
        <v>1</v>
      </c>
      <c r="J33" s="61">
        <v>0</v>
      </c>
      <c r="K33" s="61">
        <v>0</v>
      </c>
      <c r="L33" s="61">
        <v>0</v>
      </c>
      <c r="M33" s="61">
        <v>0</v>
      </c>
      <c r="N33" s="61">
        <v>0</v>
      </c>
      <c r="O33" s="61">
        <v>0</v>
      </c>
      <c r="P33" s="61">
        <v>0</v>
      </c>
      <c r="R33" s="64">
        <v>0</v>
      </c>
    </row>
    <row r="34" spans="1:18" x14ac:dyDescent="0.35">
      <c r="A34" s="60" t="s">
        <v>179</v>
      </c>
      <c r="B34" s="61" t="str">
        <f t="shared" ref="B34:B65" si="2">MID(A34,6,4)</f>
        <v>2008</v>
      </c>
      <c r="C34" s="84">
        <v>17871</v>
      </c>
      <c r="D34" s="63">
        <v>2008</v>
      </c>
      <c r="E34" s="61">
        <f t="shared" si="1"/>
        <v>4032064</v>
      </c>
      <c r="F34" s="61">
        <v>0</v>
      </c>
      <c r="G34" s="61">
        <v>0</v>
      </c>
      <c r="H34" s="61">
        <v>0</v>
      </c>
      <c r="I34" s="61">
        <v>0</v>
      </c>
      <c r="J34" s="61">
        <v>1</v>
      </c>
      <c r="K34" s="61">
        <v>0</v>
      </c>
      <c r="L34" s="61">
        <v>0</v>
      </c>
      <c r="M34" s="61">
        <v>0</v>
      </c>
      <c r="N34" s="61">
        <v>0</v>
      </c>
      <c r="O34" s="61">
        <v>0</v>
      </c>
      <c r="P34" s="61">
        <v>0</v>
      </c>
      <c r="R34" s="64">
        <v>0</v>
      </c>
    </row>
    <row r="35" spans="1:18" x14ac:dyDescent="0.35">
      <c r="A35" s="60" t="s">
        <v>31</v>
      </c>
      <c r="B35" s="61" t="str">
        <f t="shared" si="2"/>
        <v>2008</v>
      </c>
      <c r="C35" s="84">
        <v>17038</v>
      </c>
      <c r="D35" s="63">
        <v>2008</v>
      </c>
      <c r="E35" s="61">
        <f t="shared" si="1"/>
        <v>4032064</v>
      </c>
      <c r="F35" s="61">
        <v>0</v>
      </c>
      <c r="G35" s="61">
        <v>0</v>
      </c>
      <c r="H35" s="61">
        <v>0</v>
      </c>
      <c r="I35" s="61">
        <v>0</v>
      </c>
      <c r="J35" s="61">
        <v>0</v>
      </c>
      <c r="K35" s="61">
        <v>1</v>
      </c>
      <c r="L35" s="61">
        <v>0</v>
      </c>
      <c r="M35" s="61">
        <v>0</v>
      </c>
      <c r="N35" s="61">
        <v>0</v>
      </c>
      <c r="O35" s="61">
        <v>0</v>
      </c>
      <c r="P35" s="61">
        <v>0</v>
      </c>
      <c r="R35" s="64">
        <v>0</v>
      </c>
    </row>
    <row r="36" spans="1:18" x14ac:dyDescent="0.35">
      <c r="A36" s="60" t="s">
        <v>32</v>
      </c>
      <c r="B36" s="61" t="str">
        <f t="shared" si="2"/>
        <v>2008</v>
      </c>
      <c r="C36" s="84">
        <v>17413</v>
      </c>
      <c r="D36" s="63">
        <v>2008</v>
      </c>
      <c r="E36" s="61">
        <f t="shared" si="1"/>
        <v>4032064</v>
      </c>
      <c r="F36" s="61">
        <v>0</v>
      </c>
      <c r="G36" s="61">
        <v>0</v>
      </c>
      <c r="H36" s="61">
        <v>0</v>
      </c>
      <c r="I36" s="61">
        <v>0</v>
      </c>
      <c r="J36" s="61">
        <v>0</v>
      </c>
      <c r="K36" s="61">
        <v>0</v>
      </c>
      <c r="L36" s="61">
        <v>1</v>
      </c>
      <c r="M36" s="61">
        <v>0</v>
      </c>
      <c r="N36" s="61">
        <v>0</v>
      </c>
      <c r="O36" s="61">
        <v>0</v>
      </c>
      <c r="P36" s="61">
        <v>0</v>
      </c>
      <c r="R36" s="64">
        <v>0</v>
      </c>
    </row>
    <row r="37" spans="1:18" x14ac:dyDescent="0.35">
      <c r="A37" s="60" t="s">
        <v>33</v>
      </c>
      <c r="B37" s="61" t="str">
        <f t="shared" si="2"/>
        <v>2008</v>
      </c>
      <c r="C37" s="84">
        <v>17200</v>
      </c>
      <c r="D37" s="63">
        <v>2008</v>
      </c>
      <c r="E37" s="61">
        <f t="shared" si="1"/>
        <v>4032064</v>
      </c>
      <c r="F37" s="61">
        <v>0</v>
      </c>
      <c r="G37" s="61">
        <v>0</v>
      </c>
      <c r="H37" s="61">
        <v>0</v>
      </c>
      <c r="I37" s="61">
        <v>0</v>
      </c>
      <c r="J37" s="61">
        <v>0</v>
      </c>
      <c r="K37" s="61">
        <v>0</v>
      </c>
      <c r="L37" s="61">
        <v>0</v>
      </c>
      <c r="M37" s="61">
        <v>1</v>
      </c>
      <c r="N37" s="61">
        <v>0</v>
      </c>
      <c r="O37" s="61">
        <v>0</v>
      </c>
      <c r="P37" s="61">
        <v>0</v>
      </c>
      <c r="R37" s="64">
        <v>0</v>
      </c>
    </row>
    <row r="38" spans="1:18" x14ac:dyDescent="0.35">
      <c r="A38" s="60" t="s">
        <v>34</v>
      </c>
      <c r="B38" s="61" t="str">
        <f t="shared" si="2"/>
        <v>2008</v>
      </c>
      <c r="C38" s="84">
        <v>17176</v>
      </c>
      <c r="D38" s="63">
        <v>2008</v>
      </c>
      <c r="E38" s="61">
        <f t="shared" si="1"/>
        <v>4032064</v>
      </c>
      <c r="F38" s="61">
        <v>0</v>
      </c>
      <c r="G38" s="61">
        <v>0</v>
      </c>
      <c r="H38" s="61">
        <v>0</v>
      </c>
      <c r="I38" s="61">
        <v>0</v>
      </c>
      <c r="J38" s="61">
        <v>0</v>
      </c>
      <c r="K38" s="61">
        <v>0</v>
      </c>
      <c r="L38" s="61">
        <v>0</v>
      </c>
      <c r="M38" s="61">
        <v>0</v>
      </c>
      <c r="N38" s="61">
        <v>1</v>
      </c>
      <c r="O38" s="61">
        <v>0</v>
      </c>
      <c r="P38" s="61">
        <v>0</v>
      </c>
      <c r="R38" s="64">
        <v>0</v>
      </c>
    </row>
    <row r="39" spans="1:18" x14ac:dyDescent="0.35">
      <c r="A39" s="60" t="s">
        <v>35</v>
      </c>
      <c r="B39" s="61" t="str">
        <f t="shared" si="2"/>
        <v>2008</v>
      </c>
      <c r="C39" s="84">
        <v>18019</v>
      </c>
      <c r="D39" s="63">
        <v>2008</v>
      </c>
      <c r="E39" s="61">
        <f t="shared" si="1"/>
        <v>4032064</v>
      </c>
      <c r="F39" s="61">
        <v>0</v>
      </c>
      <c r="G39" s="61">
        <v>0</v>
      </c>
      <c r="H39" s="61">
        <v>0</v>
      </c>
      <c r="I39" s="61">
        <v>0</v>
      </c>
      <c r="J39" s="61">
        <v>0</v>
      </c>
      <c r="K39" s="61">
        <v>0</v>
      </c>
      <c r="L39" s="61">
        <v>0</v>
      </c>
      <c r="M39" s="61">
        <v>0</v>
      </c>
      <c r="N39" s="61">
        <v>0</v>
      </c>
      <c r="O39" s="61">
        <v>1</v>
      </c>
      <c r="P39" s="61">
        <v>0</v>
      </c>
      <c r="R39" s="64">
        <v>0</v>
      </c>
    </row>
    <row r="40" spans="1:18" x14ac:dyDescent="0.35">
      <c r="A40" s="60" t="s">
        <v>36</v>
      </c>
      <c r="B40" s="61" t="str">
        <f t="shared" si="2"/>
        <v>2008</v>
      </c>
      <c r="C40" s="84">
        <v>16975</v>
      </c>
      <c r="D40" s="63">
        <v>2008</v>
      </c>
      <c r="E40" s="61">
        <f t="shared" si="1"/>
        <v>4032064</v>
      </c>
      <c r="F40" s="61">
        <v>0</v>
      </c>
      <c r="G40" s="61">
        <v>0</v>
      </c>
      <c r="H40" s="61">
        <v>0</v>
      </c>
      <c r="I40" s="61">
        <v>0</v>
      </c>
      <c r="J40" s="61">
        <v>0</v>
      </c>
      <c r="K40" s="61">
        <v>0</v>
      </c>
      <c r="L40" s="61">
        <v>0</v>
      </c>
      <c r="M40" s="61">
        <v>0</v>
      </c>
      <c r="N40" s="61">
        <v>0</v>
      </c>
      <c r="O40" s="61">
        <v>0</v>
      </c>
      <c r="P40" s="61">
        <v>1</v>
      </c>
      <c r="R40" s="64">
        <v>0</v>
      </c>
    </row>
    <row r="41" spans="1:18" x14ac:dyDescent="0.35">
      <c r="A41" s="60" t="s">
        <v>37</v>
      </c>
      <c r="B41" s="61" t="str">
        <f t="shared" si="2"/>
        <v>2008</v>
      </c>
      <c r="C41" s="84">
        <v>19653</v>
      </c>
      <c r="D41" s="63">
        <v>2008</v>
      </c>
      <c r="E41" s="61">
        <f t="shared" si="1"/>
        <v>4032064</v>
      </c>
      <c r="F41" s="61">
        <v>0</v>
      </c>
      <c r="G41" s="61">
        <v>0</v>
      </c>
      <c r="H41" s="61">
        <v>0</v>
      </c>
      <c r="I41" s="61">
        <v>0</v>
      </c>
      <c r="J41" s="61">
        <v>0</v>
      </c>
      <c r="K41" s="61">
        <v>0</v>
      </c>
      <c r="L41" s="61">
        <v>0</v>
      </c>
      <c r="M41" s="61">
        <v>0</v>
      </c>
      <c r="N41" s="61">
        <v>0</v>
      </c>
      <c r="O41" s="61">
        <v>0</v>
      </c>
      <c r="P41" s="61">
        <v>0</v>
      </c>
      <c r="R41" s="64">
        <v>1</v>
      </c>
    </row>
    <row r="42" spans="1:18" x14ac:dyDescent="0.35">
      <c r="A42" s="60" t="s">
        <v>38</v>
      </c>
      <c r="B42" s="61" t="str">
        <f t="shared" si="2"/>
        <v>2009</v>
      </c>
      <c r="C42" s="84">
        <v>17741</v>
      </c>
      <c r="D42" s="63">
        <v>2009</v>
      </c>
      <c r="E42" s="61">
        <f t="shared" si="1"/>
        <v>4036081</v>
      </c>
      <c r="F42" s="61">
        <v>1</v>
      </c>
      <c r="G42" s="61">
        <v>0</v>
      </c>
      <c r="H42" s="61">
        <v>0</v>
      </c>
      <c r="I42" s="61">
        <v>0</v>
      </c>
      <c r="J42" s="61">
        <v>0</v>
      </c>
      <c r="K42" s="61">
        <v>0</v>
      </c>
      <c r="L42" s="61">
        <v>0</v>
      </c>
      <c r="M42" s="61">
        <v>0</v>
      </c>
      <c r="N42" s="61">
        <v>0</v>
      </c>
      <c r="O42" s="61">
        <v>0</v>
      </c>
      <c r="P42" s="61">
        <v>0</v>
      </c>
      <c r="R42" s="64">
        <v>0</v>
      </c>
    </row>
    <row r="43" spans="1:18" x14ac:dyDescent="0.35">
      <c r="A43" s="60" t="s">
        <v>39</v>
      </c>
      <c r="B43" s="61" t="str">
        <f t="shared" si="2"/>
        <v>2009</v>
      </c>
      <c r="C43" s="84">
        <v>17028</v>
      </c>
      <c r="D43" s="63">
        <v>2009</v>
      </c>
      <c r="E43" s="61">
        <f t="shared" si="1"/>
        <v>4036081</v>
      </c>
      <c r="F43" s="61">
        <v>0</v>
      </c>
      <c r="G43" s="61">
        <v>1</v>
      </c>
      <c r="H43" s="61">
        <v>0</v>
      </c>
      <c r="I43" s="61">
        <v>0</v>
      </c>
      <c r="J43" s="61">
        <v>0</v>
      </c>
      <c r="K43" s="61">
        <v>0</v>
      </c>
      <c r="L43" s="61">
        <v>0</v>
      </c>
      <c r="M43" s="61">
        <v>0</v>
      </c>
      <c r="N43" s="61">
        <v>0</v>
      </c>
      <c r="O43" s="61">
        <v>0</v>
      </c>
      <c r="P43" s="61">
        <v>0</v>
      </c>
      <c r="R43" s="64">
        <v>0</v>
      </c>
    </row>
    <row r="44" spans="1:18" x14ac:dyDescent="0.35">
      <c r="A44" s="60" t="s">
        <v>40</v>
      </c>
      <c r="B44" s="61" t="str">
        <f t="shared" si="2"/>
        <v>2009</v>
      </c>
      <c r="C44" s="84">
        <v>18501</v>
      </c>
      <c r="D44" s="63">
        <v>2009</v>
      </c>
      <c r="E44" s="61">
        <f t="shared" si="1"/>
        <v>4036081</v>
      </c>
      <c r="F44" s="61">
        <v>0</v>
      </c>
      <c r="G44" s="61">
        <v>0</v>
      </c>
      <c r="H44" s="61">
        <v>1</v>
      </c>
      <c r="I44" s="61">
        <v>0</v>
      </c>
      <c r="J44" s="61">
        <v>0</v>
      </c>
      <c r="K44" s="61">
        <v>0</v>
      </c>
      <c r="L44" s="61">
        <v>0</v>
      </c>
      <c r="M44" s="61">
        <v>0</v>
      </c>
      <c r="N44" s="61">
        <v>0</v>
      </c>
      <c r="O44" s="61">
        <v>0</v>
      </c>
      <c r="P44" s="61">
        <v>0</v>
      </c>
      <c r="R44" s="64">
        <v>0</v>
      </c>
    </row>
    <row r="45" spans="1:18" x14ac:dyDescent="0.35">
      <c r="A45" s="60" t="s">
        <v>41</v>
      </c>
      <c r="B45" s="61" t="str">
        <f t="shared" si="2"/>
        <v>2009</v>
      </c>
      <c r="C45" s="84">
        <v>18226</v>
      </c>
      <c r="D45" s="63">
        <v>2009</v>
      </c>
      <c r="E45" s="61">
        <f t="shared" si="1"/>
        <v>4036081</v>
      </c>
      <c r="F45" s="61">
        <v>0</v>
      </c>
      <c r="G45" s="61">
        <v>0</v>
      </c>
      <c r="H45" s="61">
        <v>0</v>
      </c>
      <c r="I45" s="61">
        <v>1</v>
      </c>
      <c r="J45" s="61">
        <v>0</v>
      </c>
      <c r="K45" s="61">
        <v>0</v>
      </c>
      <c r="L45" s="61">
        <v>0</v>
      </c>
      <c r="M45" s="61">
        <v>0</v>
      </c>
      <c r="N45" s="61">
        <v>0</v>
      </c>
      <c r="O45" s="61">
        <v>0</v>
      </c>
      <c r="P45" s="61">
        <v>0</v>
      </c>
      <c r="R45" s="64">
        <v>0</v>
      </c>
    </row>
    <row r="46" spans="1:18" x14ac:dyDescent="0.35">
      <c r="A46" s="60" t="s">
        <v>180</v>
      </c>
      <c r="B46" s="61" t="str">
        <f t="shared" si="2"/>
        <v>2009</v>
      </c>
      <c r="C46" s="84">
        <v>18146</v>
      </c>
      <c r="D46" s="63">
        <v>2009</v>
      </c>
      <c r="E46" s="61">
        <f t="shared" si="1"/>
        <v>4036081</v>
      </c>
      <c r="F46" s="61">
        <v>0</v>
      </c>
      <c r="G46" s="61">
        <v>0</v>
      </c>
      <c r="H46" s="61">
        <v>0</v>
      </c>
      <c r="I46" s="61">
        <v>0</v>
      </c>
      <c r="J46" s="61">
        <v>1</v>
      </c>
      <c r="K46" s="61">
        <v>0</v>
      </c>
      <c r="L46" s="61">
        <v>0</v>
      </c>
      <c r="M46" s="61">
        <v>0</v>
      </c>
      <c r="N46" s="61">
        <v>0</v>
      </c>
      <c r="O46" s="61">
        <v>0</v>
      </c>
      <c r="P46" s="61">
        <v>0</v>
      </c>
      <c r="R46" s="64">
        <v>0</v>
      </c>
    </row>
    <row r="47" spans="1:18" x14ac:dyDescent="0.35">
      <c r="A47" s="60" t="s">
        <v>42</v>
      </c>
      <c r="B47" s="61" t="str">
        <f t="shared" si="2"/>
        <v>2009</v>
      </c>
      <c r="C47" s="84">
        <v>17944</v>
      </c>
      <c r="D47" s="63">
        <v>2009</v>
      </c>
      <c r="E47" s="61">
        <f t="shared" si="1"/>
        <v>4036081</v>
      </c>
      <c r="F47" s="61">
        <v>0</v>
      </c>
      <c r="G47" s="61">
        <v>0</v>
      </c>
      <c r="H47" s="61">
        <v>0</v>
      </c>
      <c r="I47" s="61">
        <v>0</v>
      </c>
      <c r="J47" s="61">
        <v>0</v>
      </c>
      <c r="K47" s="61">
        <v>1</v>
      </c>
      <c r="L47" s="61">
        <v>0</v>
      </c>
      <c r="M47" s="61">
        <v>0</v>
      </c>
      <c r="N47" s="61">
        <v>0</v>
      </c>
      <c r="O47" s="61">
        <v>0</v>
      </c>
      <c r="P47" s="61">
        <v>0</v>
      </c>
      <c r="R47" s="64">
        <v>0</v>
      </c>
    </row>
    <row r="48" spans="1:18" x14ac:dyDescent="0.35">
      <c r="A48" s="60" t="s">
        <v>43</v>
      </c>
      <c r="B48" s="61" t="str">
        <f t="shared" si="2"/>
        <v>2009</v>
      </c>
      <c r="C48" s="84">
        <v>17957</v>
      </c>
      <c r="D48" s="63">
        <v>2009</v>
      </c>
      <c r="E48" s="61">
        <f t="shared" si="1"/>
        <v>4036081</v>
      </c>
      <c r="F48" s="61">
        <v>0</v>
      </c>
      <c r="G48" s="61">
        <v>0</v>
      </c>
      <c r="H48" s="61">
        <v>0</v>
      </c>
      <c r="I48" s="61">
        <v>0</v>
      </c>
      <c r="J48" s="61">
        <v>0</v>
      </c>
      <c r="K48" s="61">
        <v>0</v>
      </c>
      <c r="L48" s="61">
        <v>1</v>
      </c>
      <c r="M48" s="61">
        <v>0</v>
      </c>
      <c r="N48" s="61">
        <v>0</v>
      </c>
      <c r="O48" s="61">
        <v>0</v>
      </c>
      <c r="P48" s="61">
        <v>0</v>
      </c>
      <c r="R48" s="64">
        <v>0</v>
      </c>
    </row>
    <row r="49" spans="1:18" x14ac:dyDescent="0.35">
      <c r="A49" s="60" t="s">
        <v>44</v>
      </c>
      <c r="B49" s="61" t="str">
        <f t="shared" si="2"/>
        <v>2009</v>
      </c>
      <c r="C49" s="84">
        <v>17604</v>
      </c>
      <c r="D49" s="63">
        <v>2009</v>
      </c>
      <c r="E49" s="61">
        <f t="shared" si="1"/>
        <v>4036081</v>
      </c>
      <c r="F49" s="61">
        <v>0</v>
      </c>
      <c r="G49" s="61">
        <v>0</v>
      </c>
      <c r="H49" s="61">
        <v>0</v>
      </c>
      <c r="I49" s="61">
        <v>0</v>
      </c>
      <c r="J49" s="61">
        <v>0</v>
      </c>
      <c r="K49" s="61">
        <v>0</v>
      </c>
      <c r="L49" s="61">
        <v>0</v>
      </c>
      <c r="M49" s="61">
        <v>1</v>
      </c>
      <c r="N49" s="61">
        <v>0</v>
      </c>
      <c r="O49" s="61">
        <v>0</v>
      </c>
      <c r="P49" s="61">
        <v>0</v>
      </c>
      <c r="R49" s="64">
        <v>0</v>
      </c>
    </row>
    <row r="50" spans="1:18" x14ac:dyDescent="0.35">
      <c r="A50" s="60" t="s">
        <v>45</v>
      </c>
      <c r="B50" s="61" t="str">
        <f t="shared" si="2"/>
        <v>2009</v>
      </c>
      <c r="C50" s="84">
        <v>17770</v>
      </c>
      <c r="D50" s="63">
        <v>2009</v>
      </c>
      <c r="E50" s="61">
        <f t="shared" si="1"/>
        <v>4036081</v>
      </c>
      <c r="F50" s="61">
        <v>0</v>
      </c>
      <c r="G50" s="61">
        <v>0</v>
      </c>
      <c r="H50" s="61">
        <v>0</v>
      </c>
      <c r="I50" s="61">
        <v>0</v>
      </c>
      <c r="J50" s="61">
        <v>0</v>
      </c>
      <c r="K50" s="61">
        <v>0</v>
      </c>
      <c r="L50" s="61">
        <v>0</v>
      </c>
      <c r="M50" s="61">
        <v>0</v>
      </c>
      <c r="N50" s="61">
        <v>1</v>
      </c>
      <c r="O50" s="61">
        <v>0</v>
      </c>
      <c r="P50" s="61">
        <v>0</v>
      </c>
      <c r="R50" s="64">
        <v>0</v>
      </c>
    </row>
    <row r="51" spans="1:18" x14ac:dyDescent="0.35">
      <c r="A51" s="60" t="s">
        <v>46</v>
      </c>
      <c r="B51" s="61" t="str">
        <f t="shared" si="2"/>
        <v>2009</v>
      </c>
      <c r="C51" s="84">
        <v>18492</v>
      </c>
      <c r="D51" s="63">
        <v>2009</v>
      </c>
      <c r="E51" s="61">
        <f t="shared" si="1"/>
        <v>4036081</v>
      </c>
      <c r="F51" s="61">
        <v>0</v>
      </c>
      <c r="G51" s="61">
        <v>0</v>
      </c>
      <c r="H51" s="61">
        <v>0</v>
      </c>
      <c r="I51" s="61">
        <v>0</v>
      </c>
      <c r="J51" s="61">
        <v>0</v>
      </c>
      <c r="K51" s="61">
        <v>0</v>
      </c>
      <c r="L51" s="61">
        <v>0</v>
      </c>
      <c r="M51" s="61">
        <v>0</v>
      </c>
      <c r="N51" s="61">
        <v>0</v>
      </c>
      <c r="O51" s="61">
        <v>1</v>
      </c>
      <c r="P51" s="61">
        <v>0</v>
      </c>
      <c r="R51" s="64">
        <v>0</v>
      </c>
    </row>
    <row r="52" spans="1:18" x14ac:dyDescent="0.35">
      <c r="A52" s="60" t="s">
        <v>47</v>
      </c>
      <c r="B52" s="61" t="str">
        <f t="shared" si="2"/>
        <v>2009</v>
      </c>
      <c r="C52" s="84">
        <v>17784</v>
      </c>
      <c r="D52" s="63">
        <v>2009</v>
      </c>
      <c r="E52" s="61">
        <f t="shared" si="1"/>
        <v>4036081</v>
      </c>
      <c r="F52" s="61">
        <v>0</v>
      </c>
      <c r="G52" s="61">
        <v>0</v>
      </c>
      <c r="H52" s="61">
        <v>0</v>
      </c>
      <c r="I52" s="61">
        <v>0</v>
      </c>
      <c r="J52" s="61">
        <v>0</v>
      </c>
      <c r="K52" s="61">
        <v>0</v>
      </c>
      <c r="L52" s="61">
        <v>0</v>
      </c>
      <c r="M52" s="61">
        <v>0</v>
      </c>
      <c r="N52" s="61">
        <v>0</v>
      </c>
      <c r="O52" s="61">
        <v>0</v>
      </c>
      <c r="P52" s="61">
        <v>1</v>
      </c>
      <c r="R52" s="64">
        <v>0</v>
      </c>
    </row>
    <row r="53" spans="1:18" x14ac:dyDescent="0.35">
      <c r="A53" s="60" t="s">
        <v>48</v>
      </c>
      <c r="B53" s="61" t="str">
        <f t="shared" si="2"/>
        <v>2009</v>
      </c>
      <c r="C53" s="84">
        <v>20067</v>
      </c>
      <c r="D53" s="63">
        <v>2009</v>
      </c>
      <c r="E53" s="61">
        <f t="shared" si="1"/>
        <v>4036081</v>
      </c>
      <c r="F53" s="61">
        <v>0</v>
      </c>
      <c r="G53" s="61">
        <v>0</v>
      </c>
      <c r="H53" s="61">
        <v>0</v>
      </c>
      <c r="I53" s="61">
        <v>0</v>
      </c>
      <c r="J53" s="61">
        <v>0</v>
      </c>
      <c r="K53" s="61">
        <v>0</v>
      </c>
      <c r="L53" s="61">
        <v>0</v>
      </c>
      <c r="M53" s="61">
        <v>0</v>
      </c>
      <c r="N53" s="61">
        <v>0</v>
      </c>
      <c r="O53" s="61">
        <v>0</v>
      </c>
      <c r="P53" s="61">
        <v>0</v>
      </c>
      <c r="R53" s="64">
        <v>1</v>
      </c>
    </row>
    <row r="54" spans="1:18" x14ac:dyDescent="0.35">
      <c r="A54" s="65" t="s">
        <v>49</v>
      </c>
      <c r="B54" s="61" t="str">
        <f t="shared" si="2"/>
        <v>2010</v>
      </c>
      <c r="C54" s="85">
        <v>17874</v>
      </c>
      <c r="D54" s="63">
        <v>2010</v>
      </c>
      <c r="E54" s="61">
        <f t="shared" si="1"/>
        <v>4040100</v>
      </c>
      <c r="F54" s="61">
        <v>1</v>
      </c>
      <c r="G54" s="61">
        <v>0</v>
      </c>
      <c r="H54" s="61">
        <v>0</v>
      </c>
      <c r="I54" s="61">
        <v>0</v>
      </c>
      <c r="J54" s="61">
        <v>0</v>
      </c>
      <c r="K54" s="61">
        <v>0</v>
      </c>
      <c r="L54" s="61">
        <v>0</v>
      </c>
      <c r="M54" s="61">
        <v>0</v>
      </c>
      <c r="N54" s="61">
        <v>0</v>
      </c>
      <c r="O54" s="61">
        <v>0</v>
      </c>
      <c r="P54" s="61">
        <v>0</v>
      </c>
      <c r="R54" s="64">
        <v>0</v>
      </c>
    </row>
    <row r="55" spans="1:18" x14ac:dyDescent="0.35">
      <c r="A55" s="65" t="s">
        <v>50</v>
      </c>
      <c r="B55" s="61" t="str">
        <f t="shared" si="2"/>
        <v>2010</v>
      </c>
      <c r="C55" s="85">
        <v>17171</v>
      </c>
      <c r="D55" s="63">
        <v>2010</v>
      </c>
      <c r="E55" s="61">
        <f t="shared" si="1"/>
        <v>4040100</v>
      </c>
      <c r="F55" s="61">
        <v>0</v>
      </c>
      <c r="G55" s="61">
        <v>1</v>
      </c>
      <c r="H55" s="61">
        <v>0</v>
      </c>
      <c r="I55" s="61">
        <v>0</v>
      </c>
      <c r="J55" s="61">
        <v>0</v>
      </c>
      <c r="K55" s="61">
        <v>0</v>
      </c>
      <c r="L55" s="61">
        <v>0</v>
      </c>
      <c r="M55" s="61">
        <v>0</v>
      </c>
      <c r="N55" s="61">
        <v>0</v>
      </c>
      <c r="O55" s="61">
        <v>0</v>
      </c>
      <c r="P55" s="61">
        <v>0</v>
      </c>
      <c r="R55" s="64">
        <v>0</v>
      </c>
    </row>
    <row r="56" spans="1:18" x14ac:dyDescent="0.35">
      <c r="A56" s="65" t="s">
        <v>51</v>
      </c>
      <c r="B56" s="61" t="str">
        <f t="shared" si="2"/>
        <v>2010</v>
      </c>
      <c r="C56" s="85">
        <v>19214</v>
      </c>
      <c r="D56" s="63">
        <v>2010</v>
      </c>
      <c r="E56" s="61">
        <f t="shared" si="1"/>
        <v>4040100</v>
      </c>
      <c r="F56" s="61">
        <v>0</v>
      </c>
      <c r="G56" s="61">
        <v>0</v>
      </c>
      <c r="H56" s="61">
        <v>1</v>
      </c>
      <c r="I56" s="61">
        <v>0</v>
      </c>
      <c r="J56" s="61">
        <v>0</v>
      </c>
      <c r="K56" s="61">
        <v>0</v>
      </c>
      <c r="L56" s="61">
        <v>0</v>
      </c>
      <c r="M56" s="61">
        <v>0</v>
      </c>
      <c r="N56" s="61">
        <v>0</v>
      </c>
      <c r="O56" s="61">
        <v>0</v>
      </c>
      <c r="P56" s="61">
        <v>0</v>
      </c>
      <c r="R56" s="64">
        <v>0</v>
      </c>
    </row>
    <row r="57" spans="1:18" x14ac:dyDescent="0.35">
      <c r="A57" s="65" t="s">
        <v>52</v>
      </c>
      <c r="B57" s="61" t="str">
        <f t="shared" si="2"/>
        <v>2010</v>
      </c>
      <c r="C57" s="85">
        <v>18340</v>
      </c>
      <c r="D57" s="63">
        <v>2010</v>
      </c>
      <c r="E57" s="61">
        <f t="shared" si="1"/>
        <v>4040100</v>
      </c>
      <c r="F57" s="61">
        <v>0</v>
      </c>
      <c r="G57" s="61">
        <v>0</v>
      </c>
      <c r="H57" s="61">
        <v>0</v>
      </c>
      <c r="I57" s="61">
        <v>1</v>
      </c>
      <c r="J57" s="61">
        <v>0</v>
      </c>
      <c r="K57" s="61">
        <v>0</v>
      </c>
      <c r="L57" s="61">
        <v>0</v>
      </c>
      <c r="M57" s="61">
        <v>0</v>
      </c>
      <c r="N57" s="61">
        <v>0</v>
      </c>
      <c r="O57" s="61">
        <v>0</v>
      </c>
      <c r="P57" s="61">
        <v>0</v>
      </c>
      <c r="R57" s="64">
        <v>0</v>
      </c>
    </row>
    <row r="58" spans="1:18" x14ac:dyDescent="0.35">
      <c r="A58" s="67" t="s">
        <v>181</v>
      </c>
      <c r="B58" s="61" t="str">
        <f t="shared" si="2"/>
        <v>2010</v>
      </c>
      <c r="C58" s="85">
        <v>18295</v>
      </c>
      <c r="D58" s="63">
        <v>2010</v>
      </c>
      <c r="E58" s="61">
        <f t="shared" si="1"/>
        <v>4040100</v>
      </c>
      <c r="F58" s="61">
        <v>0</v>
      </c>
      <c r="G58" s="61">
        <v>0</v>
      </c>
      <c r="H58" s="61">
        <v>0</v>
      </c>
      <c r="I58" s="61">
        <v>0</v>
      </c>
      <c r="J58" s="61">
        <v>1</v>
      </c>
      <c r="K58" s="61">
        <v>0</v>
      </c>
      <c r="L58" s="61">
        <v>0</v>
      </c>
      <c r="M58" s="61">
        <v>0</v>
      </c>
      <c r="N58" s="61">
        <v>0</v>
      </c>
      <c r="O58" s="61">
        <v>0</v>
      </c>
      <c r="P58" s="61">
        <v>0</v>
      </c>
      <c r="R58" s="64">
        <v>0</v>
      </c>
    </row>
    <row r="59" spans="1:18" x14ac:dyDescent="0.35">
      <c r="A59" s="65" t="s">
        <v>53</v>
      </c>
      <c r="B59" s="61" t="str">
        <f t="shared" si="2"/>
        <v>2010</v>
      </c>
      <c r="C59" s="85">
        <v>18372</v>
      </c>
      <c r="D59" s="63">
        <v>2010</v>
      </c>
      <c r="E59" s="61">
        <f t="shared" si="1"/>
        <v>4040100</v>
      </c>
      <c r="F59" s="61">
        <v>0</v>
      </c>
      <c r="G59" s="61">
        <v>0</v>
      </c>
      <c r="H59" s="61">
        <v>0</v>
      </c>
      <c r="I59" s="61">
        <v>0</v>
      </c>
      <c r="J59" s="61">
        <v>0</v>
      </c>
      <c r="K59" s="61">
        <v>1</v>
      </c>
      <c r="L59" s="61">
        <v>0</v>
      </c>
      <c r="M59" s="61">
        <v>0</v>
      </c>
      <c r="N59" s="61">
        <v>0</v>
      </c>
      <c r="O59" s="61">
        <v>0</v>
      </c>
      <c r="P59" s="61">
        <v>0</v>
      </c>
      <c r="R59" s="64">
        <v>0</v>
      </c>
    </row>
    <row r="60" spans="1:18" x14ac:dyDescent="0.35">
      <c r="A60" s="65" t="s">
        <v>54</v>
      </c>
      <c r="B60" s="61" t="str">
        <f t="shared" si="2"/>
        <v>2010</v>
      </c>
      <c r="C60" s="85">
        <v>18170</v>
      </c>
      <c r="D60" s="63">
        <v>2010</v>
      </c>
      <c r="E60" s="61">
        <f t="shared" si="1"/>
        <v>4040100</v>
      </c>
      <c r="F60" s="61">
        <v>0</v>
      </c>
      <c r="G60" s="61">
        <v>0</v>
      </c>
      <c r="H60" s="61">
        <v>0</v>
      </c>
      <c r="I60" s="61">
        <v>0</v>
      </c>
      <c r="J60" s="61">
        <v>0</v>
      </c>
      <c r="K60" s="61">
        <v>0</v>
      </c>
      <c r="L60" s="61">
        <v>1</v>
      </c>
      <c r="M60" s="61">
        <v>0</v>
      </c>
      <c r="N60" s="61">
        <v>0</v>
      </c>
      <c r="O60" s="61">
        <v>0</v>
      </c>
      <c r="P60" s="61">
        <v>0</v>
      </c>
      <c r="R60" s="64">
        <v>0</v>
      </c>
    </row>
    <row r="61" spans="1:18" x14ac:dyDescent="0.35">
      <c r="A61" s="65" t="s">
        <v>55</v>
      </c>
      <c r="B61" s="61" t="str">
        <f t="shared" si="2"/>
        <v>2010</v>
      </c>
      <c r="C61" s="85">
        <v>18328</v>
      </c>
      <c r="D61" s="63">
        <v>2010</v>
      </c>
      <c r="E61" s="61">
        <f t="shared" si="1"/>
        <v>4040100</v>
      </c>
      <c r="F61" s="61">
        <v>0</v>
      </c>
      <c r="G61" s="61">
        <v>0</v>
      </c>
      <c r="H61" s="61">
        <v>0</v>
      </c>
      <c r="I61" s="61">
        <v>0</v>
      </c>
      <c r="J61" s="61">
        <v>0</v>
      </c>
      <c r="K61" s="61">
        <v>0</v>
      </c>
      <c r="L61" s="61">
        <v>0</v>
      </c>
      <c r="M61" s="61">
        <v>1</v>
      </c>
      <c r="N61" s="61">
        <v>0</v>
      </c>
      <c r="O61" s="61">
        <v>0</v>
      </c>
      <c r="P61" s="61">
        <v>0</v>
      </c>
      <c r="R61" s="64">
        <v>0</v>
      </c>
    </row>
    <row r="62" spans="1:18" x14ac:dyDescent="0.35">
      <c r="A62" s="65" t="s">
        <v>56</v>
      </c>
      <c r="B62" s="61" t="str">
        <f t="shared" si="2"/>
        <v>2010</v>
      </c>
      <c r="C62" s="85">
        <v>18124</v>
      </c>
      <c r="D62" s="63">
        <v>2010</v>
      </c>
      <c r="E62" s="61">
        <f t="shared" si="1"/>
        <v>4040100</v>
      </c>
      <c r="F62" s="61">
        <v>0</v>
      </c>
      <c r="G62" s="61">
        <v>0</v>
      </c>
      <c r="H62" s="61">
        <v>0</v>
      </c>
      <c r="I62" s="61">
        <v>0</v>
      </c>
      <c r="J62" s="61">
        <v>0</v>
      </c>
      <c r="K62" s="61">
        <v>0</v>
      </c>
      <c r="L62" s="61">
        <v>0</v>
      </c>
      <c r="M62" s="61">
        <v>0</v>
      </c>
      <c r="N62" s="61">
        <v>1</v>
      </c>
      <c r="O62" s="61">
        <v>0</v>
      </c>
      <c r="P62" s="61">
        <v>0</v>
      </c>
      <c r="R62" s="64">
        <v>0</v>
      </c>
    </row>
    <row r="63" spans="1:18" x14ac:dyDescent="0.35">
      <c r="A63" s="65" t="s">
        <v>57</v>
      </c>
      <c r="B63" s="61" t="str">
        <f t="shared" si="2"/>
        <v>2010</v>
      </c>
      <c r="C63" s="85">
        <v>18611</v>
      </c>
      <c r="D63" s="63">
        <v>2010</v>
      </c>
      <c r="E63" s="61">
        <f t="shared" si="1"/>
        <v>4040100</v>
      </c>
      <c r="F63" s="61">
        <v>0</v>
      </c>
      <c r="G63" s="61">
        <v>0</v>
      </c>
      <c r="H63" s="61">
        <v>0</v>
      </c>
      <c r="I63" s="61">
        <v>0</v>
      </c>
      <c r="J63" s="61">
        <v>0</v>
      </c>
      <c r="K63" s="61">
        <v>0</v>
      </c>
      <c r="L63" s="61">
        <v>0</v>
      </c>
      <c r="M63" s="61">
        <v>0</v>
      </c>
      <c r="N63" s="61">
        <v>0</v>
      </c>
      <c r="O63" s="61">
        <v>1</v>
      </c>
      <c r="P63" s="61">
        <v>0</v>
      </c>
      <c r="R63" s="64">
        <v>0</v>
      </c>
    </row>
    <row r="64" spans="1:18" x14ac:dyDescent="0.35">
      <c r="A64" s="65" t="s">
        <v>58</v>
      </c>
      <c r="B64" s="61" t="str">
        <f t="shared" si="2"/>
        <v>2010</v>
      </c>
      <c r="C64" s="85">
        <v>18724</v>
      </c>
      <c r="D64" s="63">
        <v>2010</v>
      </c>
      <c r="E64" s="61">
        <f t="shared" si="1"/>
        <v>4040100</v>
      </c>
      <c r="F64" s="61">
        <v>0</v>
      </c>
      <c r="G64" s="61">
        <v>0</v>
      </c>
      <c r="H64" s="61">
        <v>0</v>
      </c>
      <c r="I64" s="61">
        <v>0</v>
      </c>
      <c r="J64" s="61">
        <v>0</v>
      </c>
      <c r="K64" s="61">
        <v>0</v>
      </c>
      <c r="L64" s="61">
        <v>0</v>
      </c>
      <c r="M64" s="61">
        <v>0</v>
      </c>
      <c r="N64" s="61">
        <v>0</v>
      </c>
      <c r="O64" s="61">
        <v>0</v>
      </c>
      <c r="P64" s="61">
        <v>1</v>
      </c>
      <c r="R64" s="64">
        <v>0</v>
      </c>
    </row>
    <row r="65" spans="1:18" x14ac:dyDescent="0.35">
      <c r="A65" s="65" t="s">
        <v>59</v>
      </c>
      <c r="B65" s="61" t="str">
        <f t="shared" si="2"/>
        <v>2010</v>
      </c>
      <c r="C65" s="85">
        <v>21007</v>
      </c>
      <c r="D65" s="63">
        <v>2010</v>
      </c>
      <c r="E65" s="61">
        <f t="shared" si="1"/>
        <v>4040100</v>
      </c>
      <c r="F65" s="61">
        <v>0</v>
      </c>
      <c r="G65" s="61">
        <v>0</v>
      </c>
      <c r="H65" s="61">
        <v>0</v>
      </c>
      <c r="I65" s="61">
        <v>0</v>
      </c>
      <c r="J65" s="61">
        <v>0</v>
      </c>
      <c r="K65" s="61">
        <v>0</v>
      </c>
      <c r="L65" s="61">
        <v>0</v>
      </c>
      <c r="M65" s="61">
        <v>0</v>
      </c>
      <c r="N65" s="61">
        <v>0</v>
      </c>
      <c r="O65" s="61">
        <v>0</v>
      </c>
      <c r="P65" s="61">
        <v>0</v>
      </c>
      <c r="R65" s="64">
        <v>1</v>
      </c>
    </row>
    <row r="66" spans="1:18" x14ac:dyDescent="0.35">
      <c r="A66" s="65" t="s">
        <v>60</v>
      </c>
      <c r="B66" s="61" t="str">
        <f t="shared" ref="B66:B97" si="3">MID(A66,6,4)</f>
        <v>2011</v>
      </c>
      <c r="C66" s="85">
        <v>19155</v>
      </c>
      <c r="D66" s="63">
        <v>2011</v>
      </c>
      <c r="E66" s="61">
        <f t="shared" si="1"/>
        <v>4044121</v>
      </c>
      <c r="F66" s="61">
        <v>1</v>
      </c>
      <c r="G66" s="61">
        <v>0</v>
      </c>
      <c r="H66" s="61">
        <v>0</v>
      </c>
      <c r="I66" s="61">
        <v>0</v>
      </c>
      <c r="J66" s="61">
        <v>0</v>
      </c>
      <c r="K66" s="61">
        <v>0</v>
      </c>
      <c r="L66" s="61">
        <v>0</v>
      </c>
      <c r="M66" s="61">
        <v>0</v>
      </c>
      <c r="N66" s="61">
        <v>0</v>
      </c>
      <c r="O66" s="61">
        <v>0</v>
      </c>
      <c r="P66" s="61">
        <v>0</v>
      </c>
      <c r="R66" s="64">
        <v>0</v>
      </c>
    </row>
    <row r="67" spans="1:18" x14ac:dyDescent="0.35">
      <c r="A67" s="65" t="s">
        <v>61</v>
      </c>
      <c r="B67" s="61" t="str">
        <f t="shared" si="3"/>
        <v>2011</v>
      </c>
      <c r="C67" s="85">
        <v>18117</v>
      </c>
      <c r="D67" s="63">
        <v>2011</v>
      </c>
      <c r="E67" s="61">
        <f t="shared" ref="E67:E130" si="4">D67*D67</f>
        <v>4044121</v>
      </c>
      <c r="F67" s="61">
        <v>0</v>
      </c>
      <c r="G67" s="61">
        <v>1</v>
      </c>
      <c r="H67" s="61">
        <v>0</v>
      </c>
      <c r="I67" s="61">
        <v>0</v>
      </c>
      <c r="J67" s="61">
        <v>0</v>
      </c>
      <c r="K67" s="61">
        <v>0</v>
      </c>
      <c r="L67" s="61">
        <v>0</v>
      </c>
      <c r="M67" s="61">
        <v>0</v>
      </c>
      <c r="N67" s="61">
        <v>0</v>
      </c>
      <c r="O67" s="61">
        <v>0</v>
      </c>
      <c r="P67" s="61">
        <v>0</v>
      </c>
      <c r="R67" s="64">
        <v>0</v>
      </c>
    </row>
    <row r="68" spans="1:18" x14ac:dyDescent="0.35">
      <c r="A68" s="65" t="s">
        <v>62</v>
      </c>
      <c r="B68" s="61" t="str">
        <f t="shared" si="3"/>
        <v>2011</v>
      </c>
      <c r="C68" s="85">
        <v>20042</v>
      </c>
      <c r="D68" s="63">
        <v>2011</v>
      </c>
      <c r="E68" s="61">
        <f t="shared" si="4"/>
        <v>4044121</v>
      </c>
      <c r="F68" s="61">
        <v>0</v>
      </c>
      <c r="G68" s="61">
        <v>0</v>
      </c>
      <c r="H68" s="61">
        <v>1</v>
      </c>
      <c r="I68" s="61">
        <v>0</v>
      </c>
      <c r="J68" s="61">
        <v>0</v>
      </c>
      <c r="K68" s="61">
        <v>0</v>
      </c>
      <c r="L68" s="61">
        <v>0</v>
      </c>
      <c r="M68" s="61">
        <v>0</v>
      </c>
      <c r="N68" s="61">
        <v>0</v>
      </c>
      <c r="O68" s="61">
        <v>0</v>
      </c>
      <c r="P68" s="61">
        <v>0</v>
      </c>
      <c r="R68" s="64">
        <v>0</v>
      </c>
    </row>
    <row r="69" spans="1:18" x14ac:dyDescent="0.35">
      <c r="A69" s="65" t="s">
        <v>63</v>
      </c>
      <c r="B69" s="61" t="str">
        <f t="shared" si="3"/>
        <v>2011</v>
      </c>
      <c r="C69" s="85">
        <v>18944</v>
      </c>
      <c r="D69" s="63">
        <v>2011</v>
      </c>
      <c r="E69" s="61">
        <f t="shared" si="4"/>
        <v>4044121</v>
      </c>
      <c r="F69" s="61">
        <v>0</v>
      </c>
      <c r="G69" s="61">
        <v>0</v>
      </c>
      <c r="H69" s="61">
        <v>0</v>
      </c>
      <c r="I69" s="61">
        <v>1</v>
      </c>
      <c r="J69" s="61">
        <v>0</v>
      </c>
      <c r="K69" s="61">
        <v>0</v>
      </c>
      <c r="L69" s="61">
        <v>0</v>
      </c>
      <c r="M69" s="61">
        <v>0</v>
      </c>
      <c r="N69" s="61">
        <v>0</v>
      </c>
      <c r="O69" s="61">
        <v>0</v>
      </c>
      <c r="P69" s="61">
        <v>0</v>
      </c>
      <c r="R69" s="64">
        <v>0</v>
      </c>
    </row>
    <row r="70" spans="1:18" x14ac:dyDescent="0.35">
      <c r="A70" s="67" t="s">
        <v>182</v>
      </c>
      <c r="B70" s="61" t="str">
        <f t="shared" si="3"/>
        <v>2011</v>
      </c>
      <c r="C70" s="85">
        <v>19505</v>
      </c>
      <c r="D70" s="63">
        <v>2011</v>
      </c>
      <c r="E70" s="61">
        <f t="shared" si="4"/>
        <v>4044121</v>
      </c>
      <c r="F70" s="61">
        <v>0</v>
      </c>
      <c r="G70" s="61">
        <v>0</v>
      </c>
      <c r="H70" s="61">
        <v>0</v>
      </c>
      <c r="I70" s="61">
        <v>0</v>
      </c>
      <c r="J70" s="61">
        <v>1</v>
      </c>
      <c r="K70" s="61">
        <v>0</v>
      </c>
      <c r="L70" s="61">
        <v>0</v>
      </c>
      <c r="M70" s="61">
        <v>0</v>
      </c>
      <c r="N70" s="61">
        <v>0</v>
      </c>
      <c r="O70" s="61">
        <v>0</v>
      </c>
      <c r="P70" s="61">
        <v>0</v>
      </c>
      <c r="R70" s="64">
        <v>0</v>
      </c>
    </row>
    <row r="71" spans="1:18" x14ac:dyDescent="0.35">
      <c r="A71" s="65" t="s">
        <v>64</v>
      </c>
      <c r="B71" s="61" t="str">
        <f t="shared" si="3"/>
        <v>2011</v>
      </c>
      <c r="C71" s="85">
        <v>19081</v>
      </c>
      <c r="D71" s="63">
        <v>2011</v>
      </c>
      <c r="E71" s="61">
        <f t="shared" si="4"/>
        <v>4044121</v>
      </c>
      <c r="F71" s="61">
        <v>0</v>
      </c>
      <c r="G71" s="61">
        <v>0</v>
      </c>
      <c r="H71" s="61">
        <v>0</v>
      </c>
      <c r="I71" s="61">
        <v>0</v>
      </c>
      <c r="J71" s="61">
        <v>0</v>
      </c>
      <c r="K71" s="61">
        <v>1</v>
      </c>
      <c r="L71" s="61">
        <v>0</v>
      </c>
      <c r="M71" s="61">
        <v>0</v>
      </c>
      <c r="N71" s="61">
        <v>0</v>
      </c>
      <c r="O71" s="61">
        <v>0</v>
      </c>
      <c r="P71" s="61">
        <v>0</v>
      </c>
      <c r="R71" s="64">
        <v>0</v>
      </c>
    </row>
    <row r="72" spans="1:18" x14ac:dyDescent="0.35">
      <c r="A72" s="65" t="s">
        <v>65</v>
      </c>
      <c r="B72" s="61" t="str">
        <f t="shared" si="3"/>
        <v>2011</v>
      </c>
      <c r="C72" s="85">
        <v>18541</v>
      </c>
      <c r="D72" s="63">
        <v>2011</v>
      </c>
      <c r="E72" s="61">
        <f t="shared" si="4"/>
        <v>4044121</v>
      </c>
      <c r="F72" s="61">
        <v>0</v>
      </c>
      <c r="G72" s="61">
        <v>0</v>
      </c>
      <c r="H72" s="61">
        <v>0</v>
      </c>
      <c r="I72" s="61">
        <v>0</v>
      </c>
      <c r="J72" s="61">
        <v>0</v>
      </c>
      <c r="K72" s="61">
        <v>0</v>
      </c>
      <c r="L72" s="61">
        <v>1</v>
      </c>
      <c r="M72" s="61">
        <v>0</v>
      </c>
      <c r="N72" s="61">
        <v>0</v>
      </c>
      <c r="O72" s="61">
        <v>0</v>
      </c>
      <c r="P72" s="61">
        <v>0</v>
      </c>
      <c r="R72" s="64">
        <v>0</v>
      </c>
    </row>
    <row r="73" spans="1:18" x14ac:dyDescent="0.35">
      <c r="A73" s="65" t="s">
        <v>66</v>
      </c>
      <c r="B73" s="61" t="str">
        <f t="shared" si="3"/>
        <v>2011</v>
      </c>
      <c r="C73" s="85">
        <v>19481</v>
      </c>
      <c r="D73" s="63">
        <v>2011</v>
      </c>
      <c r="E73" s="61">
        <f t="shared" si="4"/>
        <v>4044121</v>
      </c>
      <c r="F73" s="61">
        <v>0</v>
      </c>
      <c r="G73" s="61">
        <v>0</v>
      </c>
      <c r="H73" s="61">
        <v>0</v>
      </c>
      <c r="I73" s="61">
        <v>0</v>
      </c>
      <c r="J73" s="61">
        <v>0</v>
      </c>
      <c r="K73" s="61">
        <v>0</v>
      </c>
      <c r="L73" s="61">
        <v>0</v>
      </c>
      <c r="M73" s="61">
        <v>1</v>
      </c>
      <c r="N73" s="61">
        <v>0</v>
      </c>
      <c r="O73" s="61">
        <v>0</v>
      </c>
      <c r="P73" s="61">
        <v>0</v>
      </c>
      <c r="R73" s="64">
        <v>0</v>
      </c>
    </row>
    <row r="74" spans="1:18" x14ac:dyDescent="0.35">
      <c r="A74" s="65" t="s">
        <v>67</v>
      </c>
      <c r="B74" s="61" t="str">
        <f t="shared" si="3"/>
        <v>2011</v>
      </c>
      <c r="C74" s="85">
        <v>18845</v>
      </c>
      <c r="D74" s="63">
        <v>2011</v>
      </c>
      <c r="E74" s="61">
        <f t="shared" si="4"/>
        <v>4044121</v>
      </c>
      <c r="F74" s="61">
        <v>0</v>
      </c>
      <c r="G74" s="61">
        <v>0</v>
      </c>
      <c r="H74" s="61">
        <v>0</v>
      </c>
      <c r="I74" s="61">
        <v>0</v>
      </c>
      <c r="J74" s="61">
        <v>0</v>
      </c>
      <c r="K74" s="61">
        <v>0</v>
      </c>
      <c r="L74" s="61">
        <v>0</v>
      </c>
      <c r="M74" s="61">
        <v>0</v>
      </c>
      <c r="N74" s="61">
        <v>1</v>
      </c>
      <c r="O74" s="61">
        <v>0</v>
      </c>
      <c r="P74" s="61">
        <v>0</v>
      </c>
      <c r="R74" s="64">
        <v>0</v>
      </c>
    </row>
    <row r="75" spans="1:18" x14ac:dyDescent="0.35">
      <c r="A75" s="65" t="s">
        <v>68</v>
      </c>
      <c r="B75" s="61" t="str">
        <f t="shared" si="3"/>
        <v>2011</v>
      </c>
      <c r="C75" s="85">
        <v>19302</v>
      </c>
      <c r="D75" s="63">
        <v>2011</v>
      </c>
      <c r="E75" s="61">
        <f t="shared" si="4"/>
        <v>4044121</v>
      </c>
      <c r="F75" s="61">
        <v>0</v>
      </c>
      <c r="G75" s="61">
        <v>0</v>
      </c>
      <c r="H75" s="61">
        <v>0</v>
      </c>
      <c r="I75" s="61">
        <v>0</v>
      </c>
      <c r="J75" s="61">
        <v>0</v>
      </c>
      <c r="K75" s="61">
        <v>0</v>
      </c>
      <c r="L75" s="61">
        <v>0</v>
      </c>
      <c r="M75" s="61">
        <v>0</v>
      </c>
      <c r="N75" s="61">
        <v>0</v>
      </c>
      <c r="O75" s="61">
        <v>1</v>
      </c>
      <c r="P75" s="61">
        <v>0</v>
      </c>
      <c r="R75" s="64">
        <v>0</v>
      </c>
    </row>
    <row r="76" spans="1:18" x14ac:dyDescent="0.35">
      <c r="A76" s="65" t="s">
        <v>69</v>
      </c>
      <c r="B76" s="61" t="str">
        <f t="shared" si="3"/>
        <v>2011</v>
      </c>
      <c r="C76" s="85">
        <v>19103</v>
      </c>
      <c r="D76" s="63">
        <v>2011</v>
      </c>
      <c r="E76" s="61">
        <f t="shared" si="4"/>
        <v>4044121</v>
      </c>
      <c r="F76" s="61">
        <v>0</v>
      </c>
      <c r="G76" s="61">
        <v>0</v>
      </c>
      <c r="H76" s="61">
        <v>0</v>
      </c>
      <c r="I76" s="61">
        <v>0</v>
      </c>
      <c r="J76" s="61">
        <v>0</v>
      </c>
      <c r="K76" s="61">
        <v>0</v>
      </c>
      <c r="L76" s="61">
        <v>0</v>
      </c>
      <c r="M76" s="61">
        <v>0</v>
      </c>
      <c r="N76" s="61">
        <v>0</v>
      </c>
      <c r="O76" s="61">
        <v>0</v>
      </c>
      <c r="P76" s="61">
        <v>1</v>
      </c>
      <c r="R76" s="64">
        <v>0</v>
      </c>
    </row>
    <row r="77" spans="1:18" x14ac:dyDescent="0.35">
      <c r="A77" s="65" t="s">
        <v>70</v>
      </c>
      <c r="B77" s="61" t="str">
        <f t="shared" si="3"/>
        <v>2011</v>
      </c>
      <c r="C77" s="85">
        <v>21133</v>
      </c>
      <c r="D77" s="63">
        <v>2011</v>
      </c>
      <c r="E77" s="61">
        <f t="shared" si="4"/>
        <v>4044121</v>
      </c>
      <c r="F77" s="61">
        <v>0</v>
      </c>
      <c r="G77" s="61">
        <v>0</v>
      </c>
      <c r="H77" s="61">
        <v>0</v>
      </c>
      <c r="I77" s="61">
        <v>0</v>
      </c>
      <c r="J77" s="61">
        <v>0</v>
      </c>
      <c r="K77" s="61">
        <v>0</v>
      </c>
      <c r="L77" s="61">
        <v>0</v>
      </c>
      <c r="M77" s="61">
        <v>0</v>
      </c>
      <c r="N77" s="61">
        <v>0</v>
      </c>
      <c r="O77" s="61">
        <v>0</v>
      </c>
      <c r="P77" s="61">
        <v>0</v>
      </c>
      <c r="R77" s="64">
        <v>1</v>
      </c>
    </row>
    <row r="78" spans="1:18" x14ac:dyDescent="0.35">
      <c r="A78" s="65" t="s">
        <v>71</v>
      </c>
      <c r="B78" s="61" t="str">
        <f t="shared" si="3"/>
        <v>2012</v>
      </c>
      <c r="C78" s="85">
        <v>19401</v>
      </c>
      <c r="D78" s="63">
        <v>2012</v>
      </c>
      <c r="E78" s="61">
        <f t="shared" si="4"/>
        <v>4048144</v>
      </c>
      <c r="F78" s="61">
        <v>1</v>
      </c>
      <c r="G78" s="61">
        <v>0</v>
      </c>
      <c r="H78" s="61">
        <v>0</v>
      </c>
      <c r="I78" s="61">
        <v>0</v>
      </c>
      <c r="J78" s="61">
        <v>0</v>
      </c>
      <c r="K78" s="61">
        <v>0</v>
      </c>
      <c r="L78" s="61">
        <v>0</v>
      </c>
      <c r="M78" s="61">
        <v>0</v>
      </c>
      <c r="N78" s="61">
        <v>0</v>
      </c>
      <c r="O78" s="61">
        <v>0</v>
      </c>
      <c r="P78" s="61">
        <v>0</v>
      </c>
      <c r="R78" s="64">
        <v>0</v>
      </c>
    </row>
    <row r="79" spans="1:18" x14ac:dyDescent="0.35">
      <c r="A79" s="65" t="s">
        <v>72</v>
      </c>
      <c r="B79" s="61" t="str">
        <f t="shared" si="3"/>
        <v>2012</v>
      </c>
      <c r="C79" s="85">
        <v>19056</v>
      </c>
      <c r="D79" s="63">
        <v>2012</v>
      </c>
      <c r="E79" s="61">
        <f t="shared" si="4"/>
        <v>4048144</v>
      </c>
      <c r="F79" s="61">
        <v>0</v>
      </c>
      <c r="G79" s="61">
        <v>1</v>
      </c>
      <c r="H79" s="61">
        <v>0</v>
      </c>
      <c r="I79" s="61">
        <v>0</v>
      </c>
      <c r="J79" s="61">
        <v>0</v>
      </c>
      <c r="K79" s="61">
        <v>0</v>
      </c>
      <c r="L79" s="61">
        <v>0</v>
      </c>
      <c r="M79" s="61">
        <v>0</v>
      </c>
      <c r="N79" s="61">
        <v>0</v>
      </c>
      <c r="O79" s="61">
        <v>0</v>
      </c>
      <c r="P79" s="61">
        <v>0</v>
      </c>
      <c r="R79" s="64">
        <v>0</v>
      </c>
    </row>
    <row r="80" spans="1:18" x14ac:dyDescent="0.35">
      <c r="A80" s="65" t="s">
        <v>73</v>
      </c>
      <c r="B80" s="61" t="str">
        <f t="shared" si="3"/>
        <v>2012</v>
      </c>
      <c r="C80" s="85">
        <v>19943</v>
      </c>
      <c r="D80" s="63">
        <v>2012</v>
      </c>
      <c r="E80" s="61">
        <f t="shared" si="4"/>
        <v>4048144</v>
      </c>
      <c r="F80" s="61">
        <v>0</v>
      </c>
      <c r="G80" s="61">
        <v>0</v>
      </c>
      <c r="H80" s="61">
        <v>1</v>
      </c>
      <c r="I80" s="61">
        <v>0</v>
      </c>
      <c r="J80" s="61">
        <v>0</v>
      </c>
      <c r="K80" s="61">
        <v>0</v>
      </c>
      <c r="L80" s="61">
        <v>0</v>
      </c>
      <c r="M80" s="61">
        <v>0</v>
      </c>
      <c r="N80" s="61">
        <v>0</v>
      </c>
      <c r="O80" s="61">
        <v>0</v>
      </c>
      <c r="P80" s="61">
        <v>0</v>
      </c>
      <c r="R80" s="64">
        <v>0</v>
      </c>
    </row>
    <row r="81" spans="1:18" x14ac:dyDescent="0.35">
      <c r="A81" s="65" t="s">
        <v>74</v>
      </c>
      <c r="B81" s="61" t="str">
        <f t="shared" si="3"/>
        <v>2012</v>
      </c>
      <c r="C81" s="85">
        <v>19050</v>
      </c>
      <c r="D81" s="63">
        <v>2012</v>
      </c>
      <c r="E81" s="61">
        <f t="shared" si="4"/>
        <v>4048144</v>
      </c>
      <c r="F81" s="61">
        <v>0</v>
      </c>
      <c r="G81" s="61">
        <v>0</v>
      </c>
      <c r="H81" s="61">
        <v>0</v>
      </c>
      <c r="I81" s="61">
        <v>1</v>
      </c>
      <c r="J81" s="61">
        <v>0</v>
      </c>
      <c r="K81" s="61">
        <v>0</v>
      </c>
      <c r="L81" s="61">
        <v>0</v>
      </c>
      <c r="M81" s="61">
        <v>0</v>
      </c>
      <c r="N81" s="61">
        <v>0</v>
      </c>
      <c r="O81" s="61">
        <v>0</v>
      </c>
      <c r="P81" s="61">
        <v>0</v>
      </c>
      <c r="R81" s="64">
        <v>0</v>
      </c>
    </row>
    <row r="82" spans="1:18" x14ac:dyDescent="0.35">
      <c r="A82" s="67" t="s">
        <v>183</v>
      </c>
      <c r="B82" s="61" t="str">
        <f t="shared" si="3"/>
        <v>2012</v>
      </c>
      <c r="C82" s="85">
        <v>19701</v>
      </c>
      <c r="D82" s="63">
        <v>2012</v>
      </c>
      <c r="E82" s="61">
        <f t="shared" si="4"/>
        <v>4048144</v>
      </c>
      <c r="F82" s="61">
        <v>0</v>
      </c>
      <c r="G82" s="61">
        <v>0</v>
      </c>
      <c r="H82" s="61">
        <v>0</v>
      </c>
      <c r="I82" s="61">
        <v>0</v>
      </c>
      <c r="J82" s="61">
        <v>1</v>
      </c>
      <c r="K82" s="61">
        <v>0</v>
      </c>
      <c r="L82" s="61">
        <v>0</v>
      </c>
      <c r="M82" s="61">
        <v>0</v>
      </c>
      <c r="N82" s="61">
        <v>0</v>
      </c>
      <c r="O82" s="61">
        <v>0</v>
      </c>
      <c r="P82" s="61">
        <v>0</v>
      </c>
      <c r="R82" s="64">
        <v>0</v>
      </c>
    </row>
    <row r="83" spans="1:18" x14ac:dyDescent="0.35">
      <c r="A83" s="65" t="s">
        <v>75</v>
      </c>
      <c r="B83" s="61" t="str">
        <f t="shared" si="3"/>
        <v>2012</v>
      </c>
      <c r="C83" s="85">
        <v>18426</v>
      </c>
      <c r="D83" s="63">
        <v>2012</v>
      </c>
      <c r="E83" s="61">
        <f t="shared" si="4"/>
        <v>4048144</v>
      </c>
      <c r="F83" s="61">
        <v>0</v>
      </c>
      <c r="G83" s="61">
        <v>0</v>
      </c>
      <c r="H83" s="61">
        <v>0</v>
      </c>
      <c r="I83" s="61">
        <v>0</v>
      </c>
      <c r="J83" s="61">
        <v>0</v>
      </c>
      <c r="K83" s="61">
        <v>1</v>
      </c>
      <c r="L83" s="61">
        <v>0</v>
      </c>
      <c r="M83" s="61">
        <v>0</v>
      </c>
      <c r="N83" s="61">
        <v>0</v>
      </c>
      <c r="O83" s="61">
        <v>0</v>
      </c>
      <c r="P83" s="61">
        <v>0</v>
      </c>
      <c r="R83" s="64">
        <v>0</v>
      </c>
    </row>
    <row r="84" spans="1:18" x14ac:dyDescent="0.35">
      <c r="A84" s="65" t="s">
        <v>76</v>
      </c>
      <c r="B84" s="61" t="str">
        <f t="shared" si="3"/>
        <v>2012</v>
      </c>
      <c r="C84" s="85">
        <v>18559</v>
      </c>
      <c r="D84" s="63">
        <v>2012</v>
      </c>
      <c r="E84" s="61">
        <f t="shared" si="4"/>
        <v>4048144</v>
      </c>
      <c r="F84" s="61">
        <v>0</v>
      </c>
      <c r="G84" s="61">
        <v>0</v>
      </c>
      <c r="H84" s="61">
        <v>0</v>
      </c>
      <c r="I84" s="61">
        <v>0</v>
      </c>
      <c r="J84" s="61">
        <v>0</v>
      </c>
      <c r="K84" s="61">
        <v>0</v>
      </c>
      <c r="L84" s="61">
        <v>1</v>
      </c>
      <c r="M84" s="61">
        <v>0</v>
      </c>
      <c r="N84" s="61">
        <v>0</v>
      </c>
      <c r="O84" s="61">
        <v>0</v>
      </c>
      <c r="P84" s="61">
        <v>0</v>
      </c>
      <c r="R84" s="64">
        <v>0</v>
      </c>
    </row>
    <row r="85" spans="1:18" x14ac:dyDescent="0.35">
      <c r="A85" s="65" t="s">
        <v>77</v>
      </c>
      <c r="B85" s="61" t="str">
        <f t="shared" si="3"/>
        <v>2012</v>
      </c>
      <c r="C85" s="85">
        <v>19168</v>
      </c>
      <c r="D85" s="63">
        <v>2012</v>
      </c>
      <c r="E85" s="61">
        <f t="shared" si="4"/>
        <v>4048144</v>
      </c>
      <c r="F85" s="61">
        <v>0</v>
      </c>
      <c r="G85" s="61">
        <v>0</v>
      </c>
      <c r="H85" s="61">
        <v>0</v>
      </c>
      <c r="I85" s="61">
        <v>0</v>
      </c>
      <c r="J85" s="61">
        <v>0</v>
      </c>
      <c r="K85" s="61">
        <v>0</v>
      </c>
      <c r="L85" s="61">
        <v>0</v>
      </c>
      <c r="M85" s="61">
        <v>1</v>
      </c>
      <c r="N85" s="61">
        <v>0</v>
      </c>
      <c r="O85" s="61">
        <v>0</v>
      </c>
      <c r="P85" s="61">
        <v>0</v>
      </c>
      <c r="R85" s="64">
        <v>0</v>
      </c>
    </row>
    <row r="86" spans="1:18" x14ac:dyDescent="0.35">
      <c r="A86" s="65" t="s">
        <v>78</v>
      </c>
      <c r="B86" s="61" t="str">
        <f t="shared" si="3"/>
        <v>2012</v>
      </c>
      <c r="C86" s="85">
        <v>17847</v>
      </c>
      <c r="D86" s="63">
        <v>2012</v>
      </c>
      <c r="E86" s="61">
        <f t="shared" si="4"/>
        <v>4048144</v>
      </c>
      <c r="F86" s="61">
        <v>0</v>
      </c>
      <c r="G86" s="61">
        <v>0</v>
      </c>
      <c r="H86" s="61">
        <v>0</v>
      </c>
      <c r="I86" s="61">
        <v>0</v>
      </c>
      <c r="J86" s="61">
        <v>0</v>
      </c>
      <c r="K86" s="61">
        <v>0</v>
      </c>
      <c r="L86" s="61">
        <v>0</v>
      </c>
      <c r="M86" s="61">
        <v>0</v>
      </c>
      <c r="N86" s="61">
        <v>1</v>
      </c>
      <c r="O86" s="61">
        <v>0</v>
      </c>
      <c r="P86" s="61">
        <v>0</v>
      </c>
      <c r="R86" s="64">
        <v>0</v>
      </c>
    </row>
    <row r="87" spans="1:18" x14ac:dyDescent="0.35">
      <c r="A87" s="65" t="s">
        <v>79</v>
      </c>
      <c r="B87" s="61" t="str">
        <f t="shared" si="3"/>
        <v>2012</v>
      </c>
      <c r="C87" s="85">
        <v>19468</v>
      </c>
      <c r="D87" s="63">
        <v>2012</v>
      </c>
      <c r="E87" s="61">
        <f t="shared" si="4"/>
        <v>4048144</v>
      </c>
      <c r="F87" s="61">
        <v>0</v>
      </c>
      <c r="G87" s="61">
        <v>0</v>
      </c>
      <c r="H87" s="61">
        <v>0</v>
      </c>
      <c r="I87" s="61">
        <v>0</v>
      </c>
      <c r="J87" s="61">
        <v>0</v>
      </c>
      <c r="K87" s="61">
        <v>0</v>
      </c>
      <c r="L87" s="61">
        <v>0</v>
      </c>
      <c r="M87" s="61">
        <v>0</v>
      </c>
      <c r="N87" s="61">
        <v>0</v>
      </c>
      <c r="O87" s="61">
        <v>1</v>
      </c>
      <c r="P87" s="61">
        <v>0</v>
      </c>
      <c r="R87" s="64">
        <v>0</v>
      </c>
    </row>
    <row r="88" spans="1:18" x14ac:dyDescent="0.35">
      <c r="A88" s="65" t="s">
        <v>80</v>
      </c>
      <c r="B88" s="61" t="str">
        <f t="shared" si="3"/>
        <v>2012</v>
      </c>
      <c r="C88" s="85">
        <v>18700</v>
      </c>
      <c r="D88" s="63">
        <v>2012</v>
      </c>
      <c r="E88" s="61">
        <f t="shared" si="4"/>
        <v>4048144</v>
      </c>
      <c r="F88" s="61">
        <v>0</v>
      </c>
      <c r="G88" s="61">
        <v>0</v>
      </c>
      <c r="H88" s="61">
        <v>0</v>
      </c>
      <c r="I88" s="61">
        <v>0</v>
      </c>
      <c r="J88" s="61">
        <v>0</v>
      </c>
      <c r="K88" s="61">
        <v>0</v>
      </c>
      <c r="L88" s="61">
        <v>0</v>
      </c>
      <c r="M88" s="61">
        <v>0</v>
      </c>
      <c r="N88" s="61">
        <v>0</v>
      </c>
      <c r="O88" s="61">
        <v>0</v>
      </c>
      <c r="P88" s="61">
        <v>1</v>
      </c>
      <c r="R88" s="64">
        <v>0</v>
      </c>
    </row>
    <row r="89" spans="1:18" x14ac:dyDescent="0.35">
      <c r="A89" s="65" t="s">
        <v>81</v>
      </c>
      <c r="B89" s="61" t="str">
        <f t="shared" si="3"/>
        <v>2012</v>
      </c>
      <c r="C89" s="85">
        <v>20632</v>
      </c>
      <c r="D89" s="63">
        <v>2012</v>
      </c>
      <c r="E89" s="61">
        <f t="shared" si="4"/>
        <v>4048144</v>
      </c>
      <c r="F89" s="61">
        <v>0</v>
      </c>
      <c r="G89" s="61">
        <v>0</v>
      </c>
      <c r="H89" s="61">
        <v>0</v>
      </c>
      <c r="I89" s="61">
        <v>0</v>
      </c>
      <c r="J89" s="61">
        <v>0</v>
      </c>
      <c r="K89" s="61">
        <v>0</v>
      </c>
      <c r="L89" s="61">
        <v>0</v>
      </c>
      <c r="M89" s="61">
        <v>0</v>
      </c>
      <c r="N89" s="61">
        <v>0</v>
      </c>
      <c r="O89" s="61">
        <v>0</v>
      </c>
      <c r="P89" s="61">
        <v>0</v>
      </c>
      <c r="R89" s="64">
        <v>1</v>
      </c>
    </row>
    <row r="90" spans="1:18" x14ac:dyDescent="0.35">
      <c r="A90" s="68" t="s">
        <v>82</v>
      </c>
      <c r="B90" s="61" t="str">
        <f t="shared" si="3"/>
        <v>2013</v>
      </c>
      <c r="C90" s="86">
        <v>19826</v>
      </c>
      <c r="D90" s="63">
        <v>2013</v>
      </c>
      <c r="E90" s="61">
        <f t="shared" si="4"/>
        <v>4052169</v>
      </c>
      <c r="F90" s="61">
        <v>1</v>
      </c>
      <c r="G90" s="61">
        <v>0</v>
      </c>
      <c r="H90" s="61">
        <v>0</v>
      </c>
      <c r="I90" s="61">
        <v>0</v>
      </c>
      <c r="J90" s="61">
        <v>0</v>
      </c>
      <c r="K90" s="61">
        <v>0</v>
      </c>
      <c r="L90" s="61">
        <v>0</v>
      </c>
      <c r="M90" s="61">
        <v>0</v>
      </c>
      <c r="N90" s="61">
        <v>0</v>
      </c>
      <c r="O90" s="61">
        <v>0</v>
      </c>
      <c r="P90" s="61">
        <v>0</v>
      </c>
      <c r="R90" s="64">
        <v>0</v>
      </c>
    </row>
    <row r="91" spans="1:18" x14ac:dyDescent="0.35">
      <c r="A91" s="68" t="s">
        <v>83</v>
      </c>
      <c r="B91" s="61" t="str">
        <f t="shared" si="3"/>
        <v>2013</v>
      </c>
      <c r="C91" s="86">
        <v>18221</v>
      </c>
      <c r="D91" s="63">
        <v>2013</v>
      </c>
      <c r="E91" s="61">
        <f t="shared" si="4"/>
        <v>4052169</v>
      </c>
      <c r="F91" s="61">
        <v>0</v>
      </c>
      <c r="G91" s="61">
        <v>1</v>
      </c>
      <c r="H91" s="61">
        <v>0</v>
      </c>
      <c r="I91" s="61">
        <v>0</v>
      </c>
      <c r="J91" s="61">
        <v>0</v>
      </c>
      <c r="K91" s="61">
        <v>0</v>
      </c>
      <c r="L91" s="61">
        <v>0</v>
      </c>
      <c r="M91" s="61">
        <v>0</v>
      </c>
      <c r="N91" s="61">
        <v>0</v>
      </c>
      <c r="O91" s="61">
        <v>0</v>
      </c>
      <c r="P91" s="61">
        <v>0</v>
      </c>
      <c r="R91" s="64">
        <v>0</v>
      </c>
    </row>
    <row r="92" spans="1:18" x14ac:dyDescent="0.35">
      <c r="A92" s="68" t="s">
        <v>84</v>
      </c>
      <c r="B92" s="61" t="str">
        <f t="shared" si="3"/>
        <v>2013</v>
      </c>
      <c r="C92" s="86">
        <v>19625</v>
      </c>
      <c r="D92" s="63">
        <v>2013</v>
      </c>
      <c r="E92" s="61">
        <f t="shared" si="4"/>
        <v>4052169</v>
      </c>
      <c r="F92" s="61">
        <v>0</v>
      </c>
      <c r="G92" s="61">
        <v>0</v>
      </c>
      <c r="H92" s="61">
        <v>1</v>
      </c>
      <c r="I92" s="61">
        <v>0</v>
      </c>
      <c r="J92" s="61">
        <v>0</v>
      </c>
      <c r="K92" s="61">
        <v>0</v>
      </c>
      <c r="L92" s="61">
        <v>0</v>
      </c>
      <c r="M92" s="61">
        <v>0</v>
      </c>
      <c r="N92" s="61">
        <v>0</v>
      </c>
      <c r="O92" s="61">
        <v>0</v>
      </c>
      <c r="P92" s="61">
        <v>0</v>
      </c>
      <c r="R92" s="64">
        <v>0</v>
      </c>
    </row>
    <row r="93" spans="1:18" x14ac:dyDescent="0.35">
      <c r="A93" s="68" t="s">
        <v>85</v>
      </c>
      <c r="B93" s="61" t="str">
        <f t="shared" si="3"/>
        <v>2013</v>
      </c>
      <c r="C93" s="86">
        <v>19168</v>
      </c>
      <c r="D93" s="63">
        <v>2013</v>
      </c>
      <c r="E93" s="61">
        <f t="shared" si="4"/>
        <v>4052169</v>
      </c>
      <c r="F93" s="61">
        <v>0</v>
      </c>
      <c r="G93" s="61">
        <v>0</v>
      </c>
      <c r="H93" s="61">
        <v>0</v>
      </c>
      <c r="I93" s="61">
        <v>1</v>
      </c>
      <c r="J93" s="61">
        <v>0</v>
      </c>
      <c r="K93" s="61">
        <v>0</v>
      </c>
      <c r="L93" s="61">
        <v>0</v>
      </c>
      <c r="M93" s="61">
        <v>0</v>
      </c>
      <c r="N93" s="61">
        <v>0</v>
      </c>
      <c r="O93" s="61">
        <v>0</v>
      </c>
      <c r="P93" s="61">
        <v>0</v>
      </c>
      <c r="R93" s="64">
        <v>0</v>
      </c>
    </row>
    <row r="94" spans="1:18" x14ac:dyDescent="0.35">
      <c r="A94" s="70" t="s">
        <v>86</v>
      </c>
      <c r="B94" s="61" t="str">
        <f t="shared" si="3"/>
        <v>2013</v>
      </c>
      <c r="C94" s="86">
        <v>19806</v>
      </c>
      <c r="D94" s="63">
        <v>2013</v>
      </c>
      <c r="E94" s="61">
        <f t="shared" si="4"/>
        <v>4052169</v>
      </c>
      <c r="F94" s="61">
        <v>0</v>
      </c>
      <c r="G94" s="61">
        <v>0</v>
      </c>
      <c r="H94" s="61">
        <v>0</v>
      </c>
      <c r="I94" s="61">
        <v>0</v>
      </c>
      <c r="J94" s="61">
        <v>1</v>
      </c>
      <c r="K94" s="61">
        <v>0</v>
      </c>
      <c r="L94" s="61">
        <v>0</v>
      </c>
      <c r="M94" s="61">
        <v>0</v>
      </c>
      <c r="N94" s="61">
        <v>0</v>
      </c>
      <c r="O94" s="61">
        <v>0</v>
      </c>
      <c r="P94" s="61">
        <v>0</v>
      </c>
      <c r="R94" s="64">
        <v>0</v>
      </c>
    </row>
    <row r="95" spans="1:18" x14ac:dyDescent="0.35">
      <c r="A95" s="68" t="s">
        <v>87</v>
      </c>
      <c r="B95" s="61" t="str">
        <f t="shared" si="3"/>
        <v>2013</v>
      </c>
      <c r="C95" s="86">
        <v>18547</v>
      </c>
      <c r="D95" s="63">
        <v>2013</v>
      </c>
      <c r="E95" s="61">
        <f t="shared" si="4"/>
        <v>4052169</v>
      </c>
      <c r="F95" s="61">
        <v>0</v>
      </c>
      <c r="G95" s="61">
        <v>0</v>
      </c>
      <c r="H95" s="61">
        <v>0</v>
      </c>
      <c r="I95" s="61">
        <v>0</v>
      </c>
      <c r="J95" s="61">
        <v>0</v>
      </c>
      <c r="K95" s="61">
        <v>1</v>
      </c>
      <c r="L95" s="61">
        <v>0</v>
      </c>
      <c r="M95" s="61">
        <v>0</v>
      </c>
      <c r="N95" s="61">
        <v>0</v>
      </c>
      <c r="O95" s="61">
        <v>0</v>
      </c>
      <c r="P95" s="61">
        <v>0</v>
      </c>
      <c r="R95" s="64">
        <v>0</v>
      </c>
    </row>
    <row r="96" spans="1:18" x14ac:dyDescent="0.35">
      <c r="A96" s="68" t="s">
        <v>88</v>
      </c>
      <c r="B96" s="61" t="str">
        <f t="shared" si="3"/>
        <v>2013</v>
      </c>
      <c r="C96" s="86">
        <v>19470</v>
      </c>
      <c r="D96" s="63">
        <v>2013</v>
      </c>
      <c r="E96" s="61">
        <f t="shared" si="4"/>
        <v>4052169</v>
      </c>
      <c r="F96" s="61">
        <v>0</v>
      </c>
      <c r="G96" s="61">
        <v>0</v>
      </c>
      <c r="H96" s="61">
        <v>0</v>
      </c>
      <c r="I96" s="61">
        <v>0</v>
      </c>
      <c r="J96" s="61">
        <v>0</v>
      </c>
      <c r="K96" s="61">
        <v>0</v>
      </c>
      <c r="L96" s="61">
        <v>1</v>
      </c>
      <c r="M96" s="61">
        <v>0</v>
      </c>
      <c r="N96" s="61">
        <v>0</v>
      </c>
      <c r="O96" s="61">
        <v>0</v>
      </c>
      <c r="P96" s="61">
        <v>0</v>
      </c>
      <c r="R96" s="64">
        <v>0</v>
      </c>
    </row>
    <row r="97" spans="1:18" x14ac:dyDescent="0.35">
      <c r="A97" s="68" t="s">
        <v>89</v>
      </c>
      <c r="B97" s="61" t="str">
        <f t="shared" si="3"/>
        <v>2013</v>
      </c>
      <c r="C97" s="86">
        <v>19562</v>
      </c>
      <c r="D97" s="63">
        <v>2013</v>
      </c>
      <c r="E97" s="61">
        <f t="shared" si="4"/>
        <v>4052169</v>
      </c>
      <c r="F97" s="61">
        <v>0</v>
      </c>
      <c r="G97" s="61">
        <v>0</v>
      </c>
      <c r="H97" s="61">
        <v>0</v>
      </c>
      <c r="I97" s="61">
        <v>0</v>
      </c>
      <c r="J97" s="61">
        <v>0</v>
      </c>
      <c r="K97" s="61">
        <v>0</v>
      </c>
      <c r="L97" s="61">
        <v>0</v>
      </c>
      <c r="M97" s="61">
        <v>1</v>
      </c>
      <c r="N97" s="61">
        <v>0</v>
      </c>
      <c r="O97" s="61">
        <v>0</v>
      </c>
      <c r="P97" s="61">
        <v>0</v>
      </c>
      <c r="R97" s="64">
        <v>0</v>
      </c>
    </row>
    <row r="98" spans="1:18" x14ac:dyDescent="0.35">
      <c r="A98" s="68" t="s">
        <v>90</v>
      </c>
      <c r="B98" s="61" t="str">
        <f t="shared" ref="B98:B129" si="5">MID(A98,6,4)</f>
        <v>2013</v>
      </c>
      <c r="C98" s="86">
        <v>19217</v>
      </c>
      <c r="D98" s="63">
        <v>2013</v>
      </c>
      <c r="E98" s="61">
        <f t="shared" si="4"/>
        <v>4052169</v>
      </c>
      <c r="F98" s="61">
        <v>0</v>
      </c>
      <c r="G98" s="61">
        <v>0</v>
      </c>
      <c r="H98" s="61">
        <v>0</v>
      </c>
      <c r="I98" s="61">
        <v>0</v>
      </c>
      <c r="J98" s="61">
        <v>0</v>
      </c>
      <c r="K98" s="61">
        <v>0</v>
      </c>
      <c r="L98" s="61">
        <v>0</v>
      </c>
      <c r="M98" s="61">
        <v>0</v>
      </c>
      <c r="N98" s="61">
        <v>1</v>
      </c>
      <c r="O98" s="61">
        <v>0</v>
      </c>
      <c r="P98" s="61">
        <v>0</v>
      </c>
      <c r="R98" s="64">
        <v>0</v>
      </c>
    </row>
    <row r="99" spans="1:18" x14ac:dyDescent="0.35">
      <c r="A99" s="68" t="s">
        <v>91</v>
      </c>
      <c r="B99" s="61" t="str">
        <f t="shared" si="5"/>
        <v>2013</v>
      </c>
      <c r="C99" s="86">
        <v>20478</v>
      </c>
      <c r="D99" s="63">
        <v>2013</v>
      </c>
      <c r="E99" s="61">
        <f t="shared" si="4"/>
        <v>4052169</v>
      </c>
      <c r="F99" s="61">
        <v>0</v>
      </c>
      <c r="G99" s="61">
        <v>0</v>
      </c>
      <c r="H99" s="61">
        <v>0</v>
      </c>
      <c r="I99" s="61">
        <v>0</v>
      </c>
      <c r="J99" s="61">
        <v>0</v>
      </c>
      <c r="K99" s="61">
        <v>0</v>
      </c>
      <c r="L99" s="61">
        <v>0</v>
      </c>
      <c r="M99" s="61">
        <v>0</v>
      </c>
      <c r="N99" s="61">
        <v>0</v>
      </c>
      <c r="O99" s="61">
        <v>1</v>
      </c>
      <c r="P99" s="61">
        <v>0</v>
      </c>
      <c r="R99" s="64">
        <v>0</v>
      </c>
    </row>
    <row r="100" spans="1:18" x14ac:dyDescent="0.35">
      <c r="A100" s="68" t="s">
        <v>92</v>
      </c>
      <c r="B100" s="61" t="str">
        <f t="shared" si="5"/>
        <v>2013</v>
      </c>
      <c r="C100" s="86">
        <v>19554</v>
      </c>
      <c r="D100" s="63">
        <v>2013</v>
      </c>
      <c r="E100" s="61">
        <f t="shared" si="4"/>
        <v>4052169</v>
      </c>
      <c r="F100" s="61">
        <v>0</v>
      </c>
      <c r="G100" s="61">
        <v>0</v>
      </c>
      <c r="H100" s="61">
        <v>0</v>
      </c>
      <c r="I100" s="61">
        <v>0</v>
      </c>
      <c r="J100" s="61">
        <v>0</v>
      </c>
      <c r="K100" s="61">
        <v>0</v>
      </c>
      <c r="L100" s="61">
        <v>0</v>
      </c>
      <c r="M100" s="61">
        <v>0</v>
      </c>
      <c r="N100" s="61">
        <v>0</v>
      </c>
      <c r="O100" s="61">
        <v>0</v>
      </c>
      <c r="P100" s="61">
        <v>1</v>
      </c>
      <c r="R100" s="64">
        <v>0</v>
      </c>
    </row>
    <row r="101" spans="1:18" x14ac:dyDescent="0.35">
      <c r="A101" s="68" t="s">
        <v>93</v>
      </c>
      <c r="B101" s="61" t="str">
        <f t="shared" si="5"/>
        <v>2013</v>
      </c>
      <c r="C101" s="86">
        <v>22074</v>
      </c>
      <c r="D101" s="63">
        <v>2013</v>
      </c>
      <c r="E101" s="61">
        <f t="shared" si="4"/>
        <v>4052169</v>
      </c>
      <c r="F101" s="61">
        <v>0</v>
      </c>
      <c r="G101" s="61">
        <v>0</v>
      </c>
      <c r="H101" s="61">
        <v>0</v>
      </c>
      <c r="I101" s="61">
        <v>0</v>
      </c>
      <c r="J101" s="61">
        <v>0</v>
      </c>
      <c r="K101" s="61">
        <v>0</v>
      </c>
      <c r="L101" s="61">
        <v>0</v>
      </c>
      <c r="M101" s="61">
        <v>0</v>
      </c>
      <c r="N101" s="61">
        <v>0</v>
      </c>
      <c r="O101" s="61">
        <v>0</v>
      </c>
      <c r="P101" s="61">
        <v>0</v>
      </c>
      <c r="R101" s="64">
        <v>1</v>
      </c>
    </row>
    <row r="102" spans="1:18" x14ac:dyDescent="0.35">
      <c r="A102" s="68" t="s">
        <v>94</v>
      </c>
      <c r="B102" s="61" t="str">
        <f t="shared" si="5"/>
        <v>2014</v>
      </c>
      <c r="C102" s="86">
        <v>20634</v>
      </c>
      <c r="D102" s="63">
        <v>2014</v>
      </c>
      <c r="E102" s="61">
        <f t="shared" si="4"/>
        <v>4056196</v>
      </c>
      <c r="F102" s="61">
        <v>1</v>
      </c>
      <c r="G102" s="61">
        <v>0</v>
      </c>
      <c r="H102" s="61">
        <v>0</v>
      </c>
      <c r="I102" s="61">
        <v>0</v>
      </c>
      <c r="J102" s="61">
        <v>0</v>
      </c>
      <c r="K102" s="61">
        <v>0</v>
      </c>
      <c r="L102" s="61">
        <v>0</v>
      </c>
      <c r="M102" s="61">
        <v>0</v>
      </c>
      <c r="N102" s="61">
        <v>0</v>
      </c>
      <c r="O102" s="61">
        <v>0</v>
      </c>
      <c r="P102" s="61">
        <v>0</v>
      </c>
      <c r="R102" s="64">
        <v>0</v>
      </c>
    </row>
    <row r="103" spans="1:18" x14ac:dyDescent="0.35">
      <c r="A103" s="68" t="s">
        <v>95</v>
      </c>
      <c r="B103" s="61" t="str">
        <f t="shared" si="5"/>
        <v>2014</v>
      </c>
      <c r="C103" s="86">
        <v>19140</v>
      </c>
      <c r="D103" s="63">
        <v>2014</v>
      </c>
      <c r="E103" s="61">
        <f t="shared" si="4"/>
        <v>4056196</v>
      </c>
      <c r="F103" s="61">
        <v>0</v>
      </c>
      <c r="G103" s="61">
        <v>1</v>
      </c>
      <c r="H103" s="61">
        <v>0</v>
      </c>
      <c r="I103" s="61">
        <v>0</v>
      </c>
      <c r="J103" s="61">
        <v>0</v>
      </c>
      <c r="K103" s="61">
        <v>0</v>
      </c>
      <c r="L103" s="61">
        <v>0</v>
      </c>
      <c r="M103" s="61">
        <v>0</v>
      </c>
      <c r="N103" s="61">
        <v>0</v>
      </c>
      <c r="O103" s="61">
        <v>0</v>
      </c>
      <c r="P103" s="61">
        <v>0</v>
      </c>
      <c r="R103" s="64">
        <v>0</v>
      </c>
    </row>
    <row r="104" spans="1:18" x14ac:dyDescent="0.35">
      <c r="A104" s="68" t="s">
        <v>96</v>
      </c>
      <c r="B104" s="61" t="str">
        <f t="shared" si="5"/>
        <v>2014</v>
      </c>
      <c r="C104" s="86">
        <v>20488</v>
      </c>
      <c r="D104" s="63">
        <v>2014</v>
      </c>
      <c r="E104" s="61">
        <f t="shared" si="4"/>
        <v>4056196</v>
      </c>
      <c r="F104" s="61">
        <v>0</v>
      </c>
      <c r="G104" s="61">
        <v>0</v>
      </c>
      <c r="H104" s="61">
        <v>1</v>
      </c>
      <c r="I104" s="61">
        <v>0</v>
      </c>
      <c r="J104" s="61">
        <v>0</v>
      </c>
      <c r="K104" s="61">
        <v>0</v>
      </c>
      <c r="L104" s="61">
        <v>0</v>
      </c>
      <c r="M104" s="61">
        <v>0</v>
      </c>
      <c r="N104" s="61">
        <v>0</v>
      </c>
      <c r="O104" s="61">
        <v>0</v>
      </c>
      <c r="P104" s="61">
        <v>0</v>
      </c>
      <c r="R104" s="64">
        <v>0</v>
      </c>
    </row>
    <row r="105" spans="1:18" x14ac:dyDescent="0.35">
      <c r="A105" s="68" t="s">
        <v>97</v>
      </c>
      <c r="B105" s="61" t="str">
        <f t="shared" si="5"/>
        <v>2014</v>
      </c>
      <c r="C105" s="86">
        <v>20621</v>
      </c>
      <c r="D105" s="63">
        <v>2014</v>
      </c>
      <c r="E105" s="61">
        <f t="shared" si="4"/>
        <v>4056196</v>
      </c>
      <c r="F105" s="61">
        <v>0</v>
      </c>
      <c r="G105" s="61">
        <v>0</v>
      </c>
      <c r="H105" s="61">
        <v>0</v>
      </c>
      <c r="I105" s="61">
        <v>1</v>
      </c>
      <c r="J105" s="61">
        <v>0</v>
      </c>
      <c r="K105" s="61">
        <v>0</v>
      </c>
      <c r="L105" s="61">
        <v>0</v>
      </c>
      <c r="M105" s="61">
        <v>0</v>
      </c>
      <c r="N105" s="61">
        <v>0</v>
      </c>
      <c r="O105" s="61">
        <v>0</v>
      </c>
      <c r="P105" s="61">
        <v>0</v>
      </c>
      <c r="R105" s="64">
        <v>0</v>
      </c>
    </row>
    <row r="106" spans="1:18" x14ac:dyDescent="0.35">
      <c r="A106" s="70" t="s">
        <v>98</v>
      </c>
      <c r="B106" s="61" t="str">
        <f t="shared" si="5"/>
        <v>2014</v>
      </c>
      <c r="C106" s="86">
        <v>21069</v>
      </c>
      <c r="D106" s="63">
        <v>2014</v>
      </c>
      <c r="E106" s="61">
        <f t="shared" si="4"/>
        <v>4056196</v>
      </c>
      <c r="F106" s="61">
        <v>0</v>
      </c>
      <c r="G106" s="61">
        <v>0</v>
      </c>
      <c r="H106" s="61">
        <v>0</v>
      </c>
      <c r="I106" s="61">
        <v>0</v>
      </c>
      <c r="J106" s="61">
        <v>1</v>
      </c>
      <c r="K106" s="61">
        <v>0</v>
      </c>
      <c r="L106" s="61">
        <v>0</v>
      </c>
      <c r="M106" s="61">
        <v>0</v>
      </c>
      <c r="N106" s="61">
        <v>0</v>
      </c>
      <c r="O106" s="61">
        <v>0</v>
      </c>
      <c r="P106" s="61">
        <v>0</v>
      </c>
      <c r="R106" s="64">
        <v>0</v>
      </c>
    </row>
    <row r="107" spans="1:18" x14ac:dyDescent="0.35">
      <c r="A107" s="68" t="s">
        <v>99</v>
      </c>
      <c r="B107" s="61" t="str">
        <f t="shared" si="5"/>
        <v>2014</v>
      </c>
      <c r="C107" s="86">
        <v>20421</v>
      </c>
      <c r="D107" s="63">
        <v>2014</v>
      </c>
      <c r="E107" s="61">
        <f t="shared" si="4"/>
        <v>4056196</v>
      </c>
      <c r="F107" s="61">
        <v>0</v>
      </c>
      <c r="G107" s="61">
        <v>0</v>
      </c>
      <c r="H107" s="61">
        <v>0</v>
      </c>
      <c r="I107" s="61">
        <v>0</v>
      </c>
      <c r="J107" s="61">
        <v>0</v>
      </c>
      <c r="K107" s="61">
        <v>1</v>
      </c>
      <c r="L107" s="61">
        <v>0</v>
      </c>
      <c r="M107" s="61">
        <v>0</v>
      </c>
      <c r="N107" s="61">
        <v>0</v>
      </c>
      <c r="O107" s="61">
        <v>0</v>
      </c>
      <c r="P107" s="61">
        <v>0</v>
      </c>
      <c r="R107" s="64">
        <v>0</v>
      </c>
    </row>
    <row r="108" spans="1:18" x14ac:dyDescent="0.35">
      <c r="A108" s="68" t="s">
        <v>100</v>
      </c>
      <c r="B108" s="61" t="str">
        <f t="shared" si="5"/>
        <v>2014</v>
      </c>
      <c r="C108" s="86">
        <v>20910</v>
      </c>
      <c r="D108" s="63">
        <v>2014</v>
      </c>
      <c r="E108" s="61">
        <f t="shared" si="4"/>
        <v>4056196</v>
      </c>
      <c r="F108" s="61">
        <v>0</v>
      </c>
      <c r="G108" s="61">
        <v>0</v>
      </c>
      <c r="H108" s="61">
        <v>0</v>
      </c>
      <c r="I108" s="61">
        <v>0</v>
      </c>
      <c r="J108" s="61">
        <v>0</v>
      </c>
      <c r="K108" s="61">
        <v>0</v>
      </c>
      <c r="L108" s="61">
        <v>1</v>
      </c>
      <c r="M108" s="61">
        <v>0</v>
      </c>
      <c r="N108" s="61">
        <v>0</v>
      </c>
      <c r="O108" s="61">
        <v>0</v>
      </c>
      <c r="P108" s="61">
        <v>0</v>
      </c>
      <c r="R108" s="64">
        <v>0</v>
      </c>
    </row>
    <row r="109" spans="1:18" x14ac:dyDescent="0.35">
      <c r="A109" s="68" t="s">
        <v>101</v>
      </c>
      <c r="B109" s="61" t="str">
        <f t="shared" si="5"/>
        <v>2014</v>
      </c>
      <c r="C109" s="86">
        <v>20631</v>
      </c>
      <c r="D109" s="63">
        <v>2014</v>
      </c>
      <c r="E109" s="61">
        <f t="shared" si="4"/>
        <v>4056196</v>
      </c>
      <c r="F109" s="61">
        <v>0</v>
      </c>
      <c r="G109" s="61">
        <v>0</v>
      </c>
      <c r="H109" s="61">
        <v>0</v>
      </c>
      <c r="I109" s="61">
        <v>0</v>
      </c>
      <c r="J109" s="61">
        <v>0</v>
      </c>
      <c r="K109" s="61">
        <v>0</v>
      </c>
      <c r="L109" s="61">
        <v>0</v>
      </c>
      <c r="M109" s="61">
        <v>1</v>
      </c>
      <c r="N109" s="61">
        <v>0</v>
      </c>
      <c r="O109" s="61">
        <v>0</v>
      </c>
      <c r="P109" s="61">
        <v>0</v>
      </c>
      <c r="R109" s="64">
        <v>0</v>
      </c>
    </row>
    <row r="110" spans="1:18" x14ac:dyDescent="0.35">
      <c r="A110" s="68" t="s">
        <v>102</v>
      </c>
      <c r="B110" s="61" t="str">
        <f t="shared" si="5"/>
        <v>2014</v>
      </c>
      <c r="C110" s="86">
        <v>20699</v>
      </c>
      <c r="D110" s="63">
        <v>2014</v>
      </c>
      <c r="E110" s="61">
        <f t="shared" si="4"/>
        <v>4056196</v>
      </c>
      <c r="F110" s="61">
        <v>0</v>
      </c>
      <c r="G110" s="61">
        <v>0</v>
      </c>
      <c r="H110" s="61">
        <v>0</v>
      </c>
      <c r="I110" s="61">
        <v>0</v>
      </c>
      <c r="J110" s="61">
        <v>0</v>
      </c>
      <c r="K110" s="61">
        <v>0</v>
      </c>
      <c r="L110" s="61">
        <v>0</v>
      </c>
      <c r="M110" s="61">
        <v>0</v>
      </c>
      <c r="N110" s="61">
        <v>1</v>
      </c>
      <c r="O110" s="61">
        <v>0</v>
      </c>
      <c r="P110" s="61">
        <v>0</v>
      </c>
      <c r="R110" s="64">
        <v>0</v>
      </c>
    </row>
    <row r="111" spans="1:18" x14ac:dyDescent="0.35">
      <c r="A111" s="68" t="s">
        <v>103</v>
      </c>
      <c r="B111" s="61" t="str">
        <f t="shared" si="5"/>
        <v>2014</v>
      </c>
      <c r="C111" s="86">
        <v>21676</v>
      </c>
      <c r="D111" s="63">
        <v>2014</v>
      </c>
      <c r="E111" s="61">
        <f t="shared" si="4"/>
        <v>4056196</v>
      </c>
      <c r="F111" s="61">
        <v>0</v>
      </c>
      <c r="G111" s="61">
        <v>0</v>
      </c>
      <c r="H111" s="61">
        <v>0</v>
      </c>
      <c r="I111" s="61">
        <v>0</v>
      </c>
      <c r="J111" s="61">
        <v>0</v>
      </c>
      <c r="K111" s="61">
        <v>0</v>
      </c>
      <c r="L111" s="61">
        <v>0</v>
      </c>
      <c r="M111" s="61">
        <v>0</v>
      </c>
      <c r="N111" s="61">
        <v>0</v>
      </c>
      <c r="O111" s="61">
        <v>1</v>
      </c>
      <c r="P111" s="61">
        <v>0</v>
      </c>
      <c r="R111" s="64">
        <v>0</v>
      </c>
    </row>
    <row r="112" spans="1:18" x14ac:dyDescent="0.35">
      <c r="A112" s="68" t="s">
        <v>104</v>
      </c>
      <c r="B112" s="61" t="str">
        <f t="shared" si="5"/>
        <v>2014</v>
      </c>
      <c r="C112" s="86">
        <v>20211</v>
      </c>
      <c r="D112" s="63">
        <v>2014</v>
      </c>
      <c r="E112" s="61">
        <f t="shared" si="4"/>
        <v>4056196</v>
      </c>
      <c r="F112" s="61">
        <v>0</v>
      </c>
      <c r="G112" s="61">
        <v>0</v>
      </c>
      <c r="H112" s="61">
        <v>0</v>
      </c>
      <c r="I112" s="61">
        <v>0</v>
      </c>
      <c r="J112" s="61">
        <v>0</v>
      </c>
      <c r="K112" s="61">
        <v>0</v>
      </c>
      <c r="L112" s="61">
        <v>0</v>
      </c>
      <c r="M112" s="61">
        <v>0</v>
      </c>
      <c r="N112" s="61">
        <v>0</v>
      </c>
      <c r="O112" s="61">
        <v>0</v>
      </c>
      <c r="P112" s="61">
        <v>1</v>
      </c>
      <c r="R112" s="64">
        <v>0</v>
      </c>
    </row>
    <row r="113" spans="1:18" x14ac:dyDescent="0.35">
      <c r="A113" s="68" t="s">
        <v>105</v>
      </c>
      <c r="B113" s="61" t="str">
        <f t="shared" si="5"/>
        <v>2014</v>
      </c>
      <c r="C113" s="86">
        <v>24046</v>
      </c>
      <c r="D113" s="63">
        <v>2014</v>
      </c>
      <c r="E113" s="61">
        <f t="shared" si="4"/>
        <v>4056196</v>
      </c>
      <c r="F113" s="61">
        <v>0</v>
      </c>
      <c r="G113" s="61">
        <v>0</v>
      </c>
      <c r="H113" s="61">
        <v>0</v>
      </c>
      <c r="I113" s="61">
        <v>0</v>
      </c>
      <c r="J113" s="61">
        <v>0</v>
      </c>
      <c r="K113" s="61">
        <v>0</v>
      </c>
      <c r="L113" s="61">
        <v>0</v>
      </c>
      <c r="M113" s="61">
        <v>0</v>
      </c>
      <c r="N113" s="61">
        <v>0</v>
      </c>
      <c r="O113" s="61">
        <v>0</v>
      </c>
      <c r="P113" s="61">
        <v>0</v>
      </c>
      <c r="R113" s="64">
        <v>1</v>
      </c>
    </row>
    <row r="114" spans="1:18" x14ac:dyDescent="0.35">
      <c r="A114" s="68" t="s">
        <v>106</v>
      </c>
      <c r="B114" s="61" t="str">
        <f t="shared" si="5"/>
        <v>2015</v>
      </c>
      <c r="C114" s="86">
        <v>21713</v>
      </c>
      <c r="D114" s="63">
        <v>2015</v>
      </c>
      <c r="E114" s="61">
        <f t="shared" si="4"/>
        <v>4060225</v>
      </c>
      <c r="F114" s="61">
        <v>1</v>
      </c>
      <c r="G114" s="61">
        <v>0</v>
      </c>
      <c r="H114" s="61">
        <v>0</v>
      </c>
      <c r="I114" s="61">
        <v>0</v>
      </c>
      <c r="J114" s="61">
        <v>0</v>
      </c>
      <c r="K114" s="61">
        <v>0</v>
      </c>
      <c r="L114" s="61">
        <v>0</v>
      </c>
      <c r="M114" s="61">
        <v>0</v>
      </c>
      <c r="N114" s="61">
        <v>0</v>
      </c>
      <c r="O114" s="61">
        <v>0</v>
      </c>
      <c r="P114" s="61">
        <v>0</v>
      </c>
      <c r="R114" s="64">
        <v>0</v>
      </c>
    </row>
    <row r="115" spans="1:18" x14ac:dyDescent="0.35">
      <c r="A115" s="68" t="s">
        <v>107</v>
      </c>
      <c r="B115" s="61" t="str">
        <f t="shared" si="5"/>
        <v>2015</v>
      </c>
      <c r="C115" s="86">
        <v>20085</v>
      </c>
      <c r="D115" s="63">
        <v>2015</v>
      </c>
      <c r="E115" s="61">
        <f t="shared" si="4"/>
        <v>4060225</v>
      </c>
      <c r="F115" s="61">
        <v>0</v>
      </c>
      <c r="G115" s="61">
        <v>1</v>
      </c>
      <c r="H115" s="61">
        <v>0</v>
      </c>
      <c r="I115" s="61">
        <v>0</v>
      </c>
      <c r="J115" s="61">
        <v>0</v>
      </c>
      <c r="K115" s="61">
        <v>0</v>
      </c>
      <c r="L115" s="61">
        <v>0</v>
      </c>
      <c r="M115" s="61">
        <v>0</v>
      </c>
      <c r="N115" s="61">
        <v>0</v>
      </c>
      <c r="O115" s="61">
        <v>0</v>
      </c>
      <c r="P115" s="61">
        <v>0</v>
      </c>
      <c r="R115" s="64">
        <v>0</v>
      </c>
    </row>
    <row r="116" spans="1:18" x14ac:dyDescent="0.35">
      <c r="A116" s="68" t="s">
        <v>108</v>
      </c>
      <c r="B116" s="61" t="str">
        <f t="shared" si="5"/>
        <v>2015</v>
      </c>
      <c r="C116" s="86">
        <v>22366</v>
      </c>
      <c r="D116" s="63">
        <v>2015</v>
      </c>
      <c r="E116" s="61">
        <f t="shared" si="4"/>
        <v>4060225</v>
      </c>
      <c r="F116" s="61">
        <v>0</v>
      </c>
      <c r="G116" s="61">
        <v>0</v>
      </c>
      <c r="H116" s="61">
        <v>1</v>
      </c>
      <c r="I116" s="61">
        <v>0</v>
      </c>
      <c r="J116" s="61">
        <v>0</v>
      </c>
      <c r="K116" s="61">
        <v>0</v>
      </c>
      <c r="L116" s="61">
        <v>0</v>
      </c>
      <c r="M116" s="61">
        <v>0</v>
      </c>
      <c r="N116" s="61">
        <v>0</v>
      </c>
      <c r="O116" s="61">
        <v>0</v>
      </c>
      <c r="P116" s="61">
        <v>0</v>
      </c>
      <c r="R116" s="64">
        <v>0</v>
      </c>
    </row>
    <row r="117" spans="1:18" x14ac:dyDescent="0.35">
      <c r="A117" s="68" t="s">
        <v>109</v>
      </c>
      <c r="B117" s="61" t="str">
        <f t="shared" si="5"/>
        <v>2015</v>
      </c>
      <c r="C117" s="86">
        <v>21551</v>
      </c>
      <c r="D117" s="63">
        <v>2015</v>
      </c>
      <c r="E117" s="61">
        <f t="shared" si="4"/>
        <v>4060225</v>
      </c>
      <c r="F117" s="61">
        <v>0</v>
      </c>
      <c r="G117" s="61">
        <v>0</v>
      </c>
      <c r="H117" s="61">
        <v>0</v>
      </c>
      <c r="I117" s="61">
        <v>1</v>
      </c>
      <c r="J117" s="61">
        <v>0</v>
      </c>
      <c r="K117" s="61">
        <v>0</v>
      </c>
      <c r="L117" s="61">
        <v>0</v>
      </c>
      <c r="M117" s="61">
        <v>0</v>
      </c>
      <c r="N117" s="61">
        <v>0</v>
      </c>
      <c r="O117" s="61">
        <v>0</v>
      </c>
      <c r="P117" s="61">
        <v>0</v>
      </c>
      <c r="R117" s="64">
        <v>0</v>
      </c>
    </row>
    <row r="118" spans="1:18" x14ac:dyDescent="0.35">
      <c r="A118" s="70" t="s">
        <v>110</v>
      </c>
      <c r="B118" s="61" t="str">
        <f t="shared" si="5"/>
        <v>2015</v>
      </c>
      <c r="C118" s="86">
        <v>21461</v>
      </c>
      <c r="D118" s="63">
        <v>2015</v>
      </c>
      <c r="E118" s="61">
        <f t="shared" si="4"/>
        <v>4060225</v>
      </c>
      <c r="F118" s="61">
        <v>0</v>
      </c>
      <c r="G118" s="61">
        <v>0</v>
      </c>
      <c r="H118" s="61">
        <v>0</v>
      </c>
      <c r="I118" s="61">
        <v>0</v>
      </c>
      <c r="J118" s="61">
        <v>1</v>
      </c>
      <c r="K118" s="61">
        <v>0</v>
      </c>
      <c r="L118" s="61">
        <v>0</v>
      </c>
      <c r="M118" s="61">
        <v>0</v>
      </c>
      <c r="N118" s="61">
        <v>0</v>
      </c>
      <c r="O118" s="61">
        <v>0</v>
      </c>
      <c r="P118" s="61">
        <v>0</v>
      </c>
      <c r="R118" s="64">
        <v>0</v>
      </c>
    </row>
    <row r="119" spans="1:18" x14ac:dyDescent="0.35">
      <c r="A119" s="68" t="s">
        <v>111</v>
      </c>
      <c r="B119" s="61" t="str">
        <f t="shared" si="5"/>
        <v>2015</v>
      </c>
      <c r="C119" s="86">
        <v>21489</v>
      </c>
      <c r="D119" s="63">
        <v>2015</v>
      </c>
      <c r="E119" s="61">
        <f t="shared" si="4"/>
        <v>4060225</v>
      </c>
      <c r="F119" s="61">
        <v>0</v>
      </c>
      <c r="G119" s="61">
        <v>0</v>
      </c>
      <c r="H119" s="61">
        <v>0</v>
      </c>
      <c r="I119" s="61">
        <v>0</v>
      </c>
      <c r="J119" s="61">
        <v>0</v>
      </c>
      <c r="K119" s="61">
        <v>1</v>
      </c>
      <c r="L119" s="61">
        <v>0</v>
      </c>
      <c r="M119" s="61">
        <v>0</v>
      </c>
      <c r="N119" s="61">
        <v>0</v>
      </c>
      <c r="O119" s="61">
        <v>0</v>
      </c>
      <c r="P119" s="61">
        <v>0</v>
      </c>
      <c r="R119" s="64">
        <v>0</v>
      </c>
    </row>
    <row r="120" spans="1:18" x14ac:dyDescent="0.35">
      <c r="A120" s="68" t="s">
        <v>112</v>
      </c>
      <c r="B120" s="61" t="str">
        <f t="shared" si="5"/>
        <v>2015</v>
      </c>
      <c r="C120" s="86">
        <v>21774</v>
      </c>
      <c r="D120" s="63">
        <v>2015</v>
      </c>
      <c r="E120" s="61">
        <f t="shared" si="4"/>
        <v>4060225</v>
      </c>
      <c r="F120" s="61">
        <v>0</v>
      </c>
      <c r="G120" s="61">
        <v>0</v>
      </c>
      <c r="H120" s="61">
        <v>0</v>
      </c>
      <c r="I120" s="61">
        <v>0</v>
      </c>
      <c r="J120" s="61">
        <v>0</v>
      </c>
      <c r="K120" s="61">
        <v>0</v>
      </c>
      <c r="L120" s="61">
        <v>1</v>
      </c>
      <c r="M120" s="61">
        <v>0</v>
      </c>
      <c r="N120" s="61">
        <v>0</v>
      </c>
      <c r="O120" s="61">
        <v>0</v>
      </c>
      <c r="P120" s="61">
        <v>0</v>
      </c>
      <c r="R120" s="64">
        <v>0</v>
      </c>
    </row>
    <row r="121" spans="1:18" x14ac:dyDescent="0.35">
      <c r="A121" s="68" t="s">
        <v>113</v>
      </c>
      <c r="B121" s="61" t="str">
        <f t="shared" si="5"/>
        <v>2015</v>
      </c>
      <c r="C121" s="86">
        <v>21533</v>
      </c>
      <c r="D121" s="63">
        <v>2015</v>
      </c>
      <c r="E121" s="61">
        <f t="shared" si="4"/>
        <v>4060225</v>
      </c>
      <c r="F121" s="61">
        <v>0</v>
      </c>
      <c r="G121" s="61">
        <v>0</v>
      </c>
      <c r="H121" s="61">
        <v>0</v>
      </c>
      <c r="I121" s="61">
        <v>0</v>
      </c>
      <c r="J121" s="61">
        <v>0</v>
      </c>
      <c r="K121" s="61">
        <v>0</v>
      </c>
      <c r="L121" s="61">
        <v>0</v>
      </c>
      <c r="M121" s="61">
        <v>1</v>
      </c>
      <c r="N121" s="61">
        <v>0</v>
      </c>
      <c r="O121" s="61">
        <v>0</v>
      </c>
      <c r="P121" s="61">
        <v>0</v>
      </c>
      <c r="R121" s="64">
        <v>0</v>
      </c>
    </row>
    <row r="122" spans="1:18" x14ac:dyDescent="0.35">
      <c r="A122" s="68" t="s">
        <v>114</v>
      </c>
      <c r="B122" s="61" t="str">
        <f t="shared" si="5"/>
        <v>2015</v>
      </c>
      <c r="C122" s="86">
        <v>22018</v>
      </c>
      <c r="D122" s="63">
        <v>2015</v>
      </c>
      <c r="E122" s="61">
        <f t="shared" si="4"/>
        <v>4060225</v>
      </c>
      <c r="F122" s="61">
        <v>0</v>
      </c>
      <c r="G122" s="61">
        <v>0</v>
      </c>
      <c r="H122" s="61">
        <v>0</v>
      </c>
      <c r="I122" s="61">
        <v>0</v>
      </c>
      <c r="J122" s="61">
        <v>0</v>
      </c>
      <c r="K122" s="61">
        <v>0</v>
      </c>
      <c r="L122" s="61">
        <v>0</v>
      </c>
      <c r="M122" s="61">
        <v>0</v>
      </c>
      <c r="N122" s="61">
        <v>1</v>
      </c>
      <c r="O122" s="61">
        <v>0</v>
      </c>
      <c r="P122" s="61">
        <v>0</v>
      </c>
      <c r="R122" s="64">
        <v>0</v>
      </c>
    </row>
    <row r="123" spans="1:18" x14ac:dyDescent="0.35">
      <c r="A123" s="68" t="s">
        <v>115</v>
      </c>
      <c r="B123" s="61" t="str">
        <f t="shared" si="5"/>
        <v>2015</v>
      </c>
      <c r="C123" s="86">
        <v>22625</v>
      </c>
      <c r="D123" s="63">
        <v>2015</v>
      </c>
      <c r="E123" s="61">
        <f t="shared" si="4"/>
        <v>4060225</v>
      </c>
      <c r="F123" s="61">
        <v>0</v>
      </c>
      <c r="G123" s="61">
        <v>0</v>
      </c>
      <c r="H123" s="61">
        <v>0</v>
      </c>
      <c r="I123" s="61">
        <v>0</v>
      </c>
      <c r="J123" s="61">
        <v>0</v>
      </c>
      <c r="K123" s="61">
        <v>0</v>
      </c>
      <c r="L123" s="61">
        <v>0</v>
      </c>
      <c r="M123" s="61">
        <v>0</v>
      </c>
      <c r="N123" s="61">
        <v>0</v>
      </c>
      <c r="O123" s="61">
        <v>1</v>
      </c>
      <c r="P123" s="61">
        <v>0</v>
      </c>
      <c r="R123" s="64">
        <v>0</v>
      </c>
    </row>
    <row r="124" spans="1:18" x14ac:dyDescent="0.35">
      <c r="A124" s="68" t="s">
        <v>116</v>
      </c>
      <c r="B124" s="61" t="str">
        <f t="shared" si="5"/>
        <v>2015</v>
      </c>
      <c r="C124" s="86">
        <v>21642</v>
      </c>
      <c r="D124" s="63">
        <v>2015</v>
      </c>
      <c r="E124" s="61">
        <f t="shared" si="4"/>
        <v>4060225</v>
      </c>
      <c r="F124" s="61">
        <v>0</v>
      </c>
      <c r="G124" s="61">
        <v>0</v>
      </c>
      <c r="H124" s="61">
        <v>0</v>
      </c>
      <c r="I124" s="61">
        <v>0</v>
      </c>
      <c r="J124" s="61">
        <v>0</v>
      </c>
      <c r="K124" s="61">
        <v>0</v>
      </c>
      <c r="L124" s="61">
        <v>0</v>
      </c>
      <c r="M124" s="61">
        <v>0</v>
      </c>
      <c r="N124" s="61">
        <v>0</v>
      </c>
      <c r="O124" s="61">
        <v>0</v>
      </c>
      <c r="P124" s="61">
        <v>1</v>
      </c>
      <c r="R124" s="64">
        <v>0</v>
      </c>
    </row>
    <row r="125" spans="1:18" x14ac:dyDescent="0.35">
      <c r="A125" s="68" t="s">
        <v>117</v>
      </c>
      <c r="B125" s="61" t="str">
        <f t="shared" si="5"/>
        <v>2015</v>
      </c>
      <c r="C125" s="86">
        <v>25212</v>
      </c>
      <c r="D125" s="63">
        <v>2015</v>
      </c>
      <c r="E125" s="61">
        <f t="shared" si="4"/>
        <v>4060225</v>
      </c>
      <c r="F125" s="61">
        <v>0</v>
      </c>
      <c r="G125" s="61">
        <v>0</v>
      </c>
      <c r="H125" s="61">
        <v>0</v>
      </c>
      <c r="I125" s="61">
        <v>0</v>
      </c>
      <c r="J125" s="61">
        <v>0</v>
      </c>
      <c r="K125" s="61">
        <v>0</v>
      </c>
      <c r="L125" s="61">
        <v>0</v>
      </c>
      <c r="M125" s="61">
        <v>0</v>
      </c>
      <c r="N125" s="61">
        <v>0</v>
      </c>
      <c r="O125" s="61">
        <v>0</v>
      </c>
      <c r="P125" s="61">
        <v>0</v>
      </c>
      <c r="R125" s="64">
        <v>1</v>
      </c>
    </row>
    <row r="126" spans="1:18" x14ac:dyDescent="0.35">
      <c r="A126" s="68" t="s">
        <v>118</v>
      </c>
      <c r="B126" s="61" t="str">
        <f t="shared" si="5"/>
        <v>2016</v>
      </c>
      <c r="C126" s="86">
        <v>22157</v>
      </c>
      <c r="D126" s="63">
        <v>2016</v>
      </c>
      <c r="E126" s="61">
        <f t="shared" si="4"/>
        <v>4064256</v>
      </c>
      <c r="F126" s="61">
        <v>1</v>
      </c>
      <c r="G126" s="61">
        <v>0</v>
      </c>
      <c r="H126" s="61">
        <v>0</v>
      </c>
      <c r="I126" s="61">
        <v>0</v>
      </c>
      <c r="J126" s="61">
        <v>0</v>
      </c>
      <c r="K126" s="61">
        <v>0</v>
      </c>
      <c r="L126" s="61">
        <v>0</v>
      </c>
      <c r="M126" s="61">
        <v>0</v>
      </c>
      <c r="N126" s="61">
        <v>0</v>
      </c>
      <c r="O126" s="61">
        <v>0</v>
      </c>
      <c r="P126" s="61">
        <v>0</v>
      </c>
      <c r="R126" s="64">
        <v>0</v>
      </c>
    </row>
    <row r="127" spans="1:18" x14ac:dyDescent="0.35">
      <c r="A127" s="68" t="s">
        <v>119</v>
      </c>
      <c r="B127" s="61" t="str">
        <f t="shared" si="5"/>
        <v>2016</v>
      </c>
      <c r="C127" s="86">
        <v>22390</v>
      </c>
      <c r="D127" s="63">
        <v>2016</v>
      </c>
      <c r="E127" s="61">
        <f t="shared" si="4"/>
        <v>4064256</v>
      </c>
      <c r="F127" s="61">
        <v>0</v>
      </c>
      <c r="G127" s="61">
        <v>1</v>
      </c>
      <c r="H127" s="61">
        <v>0</v>
      </c>
      <c r="I127" s="61">
        <v>0</v>
      </c>
      <c r="J127" s="61">
        <v>0</v>
      </c>
      <c r="K127" s="61">
        <v>0</v>
      </c>
      <c r="L127" s="61">
        <v>0</v>
      </c>
      <c r="M127" s="61">
        <v>0</v>
      </c>
      <c r="N127" s="61">
        <v>0</v>
      </c>
      <c r="O127" s="61">
        <v>0</v>
      </c>
      <c r="P127" s="61">
        <v>0</v>
      </c>
      <c r="R127" s="64">
        <v>0</v>
      </c>
    </row>
    <row r="128" spans="1:18" x14ac:dyDescent="0.35">
      <c r="A128" s="68" t="s">
        <v>120</v>
      </c>
      <c r="B128" s="61" t="str">
        <f t="shared" si="5"/>
        <v>2016</v>
      </c>
      <c r="C128" s="86">
        <v>23550</v>
      </c>
      <c r="D128" s="63">
        <v>2016</v>
      </c>
      <c r="E128" s="61">
        <f t="shared" si="4"/>
        <v>4064256</v>
      </c>
      <c r="F128" s="61">
        <v>0</v>
      </c>
      <c r="G128" s="61">
        <v>0</v>
      </c>
      <c r="H128" s="61">
        <v>1</v>
      </c>
      <c r="I128" s="61">
        <v>0</v>
      </c>
      <c r="J128" s="61">
        <v>0</v>
      </c>
      <c r="K128" s="61">
        <v>0</v>
      </c>
      <c r="L128" s="61">
        <v>0</v>
      </c>
      <c r="M128" s="61">
        <v>0</v>
      </c>
      <c r="N128" s="61">
        <v>0</v>
      </c>
      <c r="O128" s="61">
        <v>0</v>
      </c>
      <c r="P128" s="61">
        <v>0</v>
      </c>
      <c r="R128" s="64">
        <v>0</v>
      </c>
    </row>
    <row r="129" spans="1:18" x14ac:dyDescent="0.35">
      <c r="A129" s="68" t="s">
        <v>121</v>
      </c>
      <c r="B129" s="61" t="str">
        <f t="shared" si="5"/>
        <v>2016</v>
      </c>
      <c r="C129" s="86">
        <v>22650</v>
      </c>
      <c r="D129" s="63">
        <v>2016</v>
      </c>
      <c r="E129" s="61">
        <f t="shared" si="4"/>
        <v>4064256</v>
      </c>
      <c r="F129" s="61">
        <v>0</v>
      </c>
      <c r="G129" s="61">
        <v>0</v>
      </c>
      <c r="H129" s="61">
        <v>0</v>
      </c>
      <c r="I129" s="61">
        <v>1</v>
      </c>
      <c r="J129" s="61">
        <v>0</v>
      </c>
      <c r="K129" s="61">
        <v>0</v>
      </c>
      <c r="L129" s="61">
        <v>0</v>
      </c>
      <c r="M129" s="61">
        <v>0</v>
      </c>
      <c r="N129" s="61">
        <v>0</v>
      </c>
      <c r="O129" s="61">
        <v>0</v>
      </c>
      <c r="P129" s="61">
        <v>0</v>
      </c>
      <c r="R129" s="64">
        <v>0</v>
      </c>
    </row>
    <row r="130" spans="1:18" x14ac:dyDescent="0.35">
      <c r="A130" s="70" t="s">
        <v>122</v>
      </c>
      <c r="B130" s="61" t="str">
        <f t="shared" ref="B130:B161" si="6">MID(A130,6,4)</f>
        <v>2016</v>
      </c>
      <c r="C130" s="86">
        <v>23091</v>
      </c>
      <c r="D130" s="63">
        <v>2016</v>
      </c>
      <c r="E130" s="61">
        <f t="shared" si="4"/>
        <v>4064256</v>
      </c>
      <c r="F130" s="61">
        <v>0</v>
      </c>
      <c r="G130" s="61">
        <v>0</v>
      </c>
      <c r="H130" s="61">
        <v>0</v>
      </c>
      <c r="I130" s="61">
        <v>0</v>
      </c>
      <c r="J130" s="61">
        <v>1</v>
      </c>
      <c r="K130" s="61">
        <v>0</v>
      </c>
      <c r="L130" s="61">
        <v>0</v>
      </c>
      <c r="M130" s="61">
        <v>0</v>
      </c>
      <c r="N130" s="61">
        <v>0</v>
      </c>
      <c r="O130" s="61">
        <v>0</v>
      </c>
      <c r="P130" s="61">
        <v>0</v>
      </c>
      <c r="R130" s="64">
        <v>0</v>
      </c>
    </row>
    <row r="131" spans="1:18" x14ac:dyDescent="0.35">
      <c r="A131" s="68" t="s">
        <v>123</v>
      </c>
      <c r="B131" s="61" t="str">
        <f t="shared" si="6"/>
        <v>2016</v>
      </c>
      <c r="C131" s="86">
        <v>22696</v>
      </c>
      <c r="D131" s="63">
        <v>2016</v>
      </c>
      <c r="E131" s="61">
        <f t="shared" ref="E131:E181" si="7">D131*D131</f>
        <v>4064256</v>
      </c>
      <c r="F131" s="61">
        <v>0</v>
      </c>
      <c r="G131" s="61">
        <v>0</v>
      </c>
      <c r="H131" s="61">
        <v>0</v>
      </c>
      <c r="I131" s="61">
        <v>0</v>
      </c>
      <c r="J131" s="61">
        <v>0</v>
      </c>
      <c r="K131" s="61">
        <v>1</v>
      </c>
      <c r="L131" s="61">
        <v>0</v>
      </c>
      <c r="M131" s="61">
        <v>0</v>
      </c>
      <c r="N131" s="61">
        <v>0</v>
      </c>
      <c r="O131" s="61">
        <v>0</v>
      </c>
      <c r="P131" s="61">
        <v>0</v>
      </c>
      <c r="R131" s="64">
        <v>0</v>
      </c>
    </row>
    <row r="132" spans="1:18" x14ac:dyDescent="0.35">
      <c r="A132" s="68" t="s">
        <v>124</v>
      </c>
      <c r="B132" s="61" t="str">
        <f t="shared" si="6"/>
        <v>2016</v>
      </c>
      <c r="C132" s="86">
        <v>22157</v>
      </c>
      <c r="D132" s="63">
        <v>2016</v>
      </c>
      <c r="E132" s="61">
        <f t="shared" si="7"/>
        <v>4064256</v>
      </c>
      <c r="F132" s="61">
        <v>0</v>
      </c>
      <c r="G132" s="61">
        <v>0</v>
      </c>
      <c r="H132" s="61">
        <v>0</v>
      </c>
      <c r="I132" s="61">
        <v>0</v>
      </c>
      <c r="J132" s="61">
        <v>0</v>
      </c>
      <c r="K132" s="61">
        <v>0</v>
      </c>
      <c r="L132" s="61">
        <v>1</v>
      </c>
      <c r="M132" s="61">
        <v>0</v>
      </c>
      <c r="N132" s="61">
        <v>0</v>
      </c>
      <c r="O132" s="61">
        <v>0</v>
      </c>
      <c r="P132" s="61">
        <v>0</v>
      </c>
      <c r="R132" s="64">
        <v>0</v>
      </c>
    </row>
    <row r="133" spans="1:18" x14ac:dyDescent="0.35">
      <c r="A133" s="68" t="s">
        <v>125</v>
      </c>
      <c r="B133" s="61" t="str">
        <f t="shared" si="6"/>
        <v>2016</v>
      </c>
      <c r="C133" s="86">
        <v>22989</v>
      </c>
      <c r="D133" s="63">
        <v>2016</v>
      </c>
      <c r="E133" s="61">
        <f t="shared" si="7"/>
        <v>4064256</v>
      </c>
      <c r="F133" s="61">
        <v>0</v>
      </c>
      <c r="G133" s="61">
        <v>0</v>
      </c>
      <c r="H133" s="61">
        <v>0</v>
      </c>
      <c r="I133" s="61">
        <v>0</v>
      </c>
      <c r="J133" s="61">
        <v>0</v>
      </c>
      <c r="K133" s="61">
        <v>0</v>
      </c>
      <c r="L133" s="61">
        <v>0</v>
      </c>
      <c r="M133" s="61">
        <v>1</v>
      </c>
      <c r="N133" s="61">
        <v>0</v>
      </c>
      <c r="O133" s="61">
        <v>0</v>
      </c>
      <c r="P133" s="61">
        <v>0</v>
      </c>
      <c r="R133" s="64">
        <v>0</v>
      </c>
    </row>
    <row r="134" spans="1:18" x14ac:dyDescent="0.35">
      <c r="A134" s="68" t="s">
        <v>126</v>
      </c>
      <c r="B134" s="61" t="str">
        <f t="shared" si="6"/>
        <v>2016</v>
      </c>
      <c r="C134" s="86">
        <v>22211</v>
      </c>
      <c r="D134" s="63">
        <v>2016</v>
      </c>
      <c r="E134" s="61">
        <f t="shared" si="7"/>
        <v>4064256</v>
      </c>
      <c r="F134" s="61">
        <v>0</v>
      </c>
      <c r="G134" s="61">
        <v>0</v>
      </c>
      <c r="H134" s="61">
        <v>0</v>
      </c>
      <c r="I134" s="61">
        <v>0</v>
      </c>
      <c r="J134" s="61">
        <v>0</v>
      </c>
      <c r="K134" s="61">
        <v>0</v>
      </c>
      <c r="L134" s="61">
        <v>0</v>
      </c>
      <c r="M134" s="61">
        <v>0</v>
      </c>
      <c r="N134" s="61">
        <v>1</v>
      </c>
      <c r="O134" s="61">
        <v>0</v>
      </c>
      <c r="P134" s="61">
        <v>0</v>
      </c>
      <c r="R134" s="64">
        <v>0</v>
      </c>
    </row>
    <row r="135" spans="1:18" x14ac:dyDescent="0.35">
      <c r="A135" s="68" t="s">
        <v>127</v>
      </c>
      <c r="B135" s="61" t="str">
        <f t="shared" si="6"/>
        <v>2016</v>
      </c>
      <c r="C135" s="86">
        <v>22096</v>
      </c>
      <c r="D135" s="63">
        <v>2016</v>
      </c>
      <c r="E135" s="61">
        <f t="shared" si="7"/>
        <v>4064256</v>
      </c>
      <c r="F135" s="61">
        <v>0</v>
      </c>
      <c r="G135" s="61">
        <v>0</v>
      </c>
      <c r="H135" s="61">
        <v>0</v>
      </c>
      <c r="I135" s="61">
        <v>0</v>
      </c>
      <c r="J135" s="61">
        <v>0</v>
      </c>
      <c r="K135" s="61">
        <v>0</v>
      </c>
      <c r="L135" s="61">
        <v>0</v>
      </c>
      <c r="M135" s="61">
        <v>0</v>
      </c>
      <c r="N135" s="61">
        <v>0</v>
      </c>
      <c r="O135" s="61">
        <v>1</v>
      </c>
      <c r="P135" s="61">
        <v>0</v>
      </c>
      <c r="R135" s="64">
        <v>0</v>
      </c>
    </row>
    <row r="136" spans="1:18" x14ac:dyDescent="0.35">
      <c r="A136" s="68" t="s">
        <v>128</v>
      </c>
      <c r="B136" s="61" t="str">
        <f t="shared" si="6"/>
        <v>2016</v>
      </c>
      <c r="C136" s="86">
        <v>21854</v>
      </c>
      <c r="D136" s="63">
        <v>2016</v>
      </c>
      <c r="E136" s="61">
        <f t="shared" si="7"/>
        <v>4064256</v>
      </c>
      <c r="F136" s="61">
        <v>0</v>
      </c>
      <c r="G136" s="61">
        <v>0</v>
      </c>
      <c r="H136" s="61">
        <v>0</v>
      </c>
      <c r="I136" s="61">
        <v>0</v>
      </c>
      <c r="J136" s="61">
        <v>0</v>
      </c>
      <c r="K136" s="61">
        <v>0</v>
      </c>
      <c r="L136" s="61">
        <v>0</v>
      </c>
      <c r="M136" s="61">
        <v>0</v>
      </c>
      <c r="N136" s="61">
        <v>0</v>
      </c>
      <c r="O136" s="61">
        <v>0</v>
      </c>
      <c r="P136" s="61">
        <v>1</v>
      </c>
      <c r="R136" s="64">
        <v>0</v>
      </c>
    </row>
    <row r="137" spans="1:18" x14ac:dyDescent="0.35">
      <c r="A137" s="68" t="s">
        <v>129</v>
      </c>
      <c r="B137" s="61" t="str">
        <f t="shared" si="6"/>
        <v>2016</v>
      </c>
      <c r="C137" s="86">
        <v>24489</v>
      </c>
      <c r="D137" s="63">
        <v>2016</v>
      </c>
      <c r="E137" s="61">
        <f t="shared" si="7"/>
        <v>4064256</v>
      </c>
      <c r="F137" s="61">
        <v>0</v>
      </c>
      <c r="G137" s="61">
        <v>0</v>
      </c>
      <c r="H137" s="61">
        <v>0</v>
      </c>
      <c r="I137" s="61">
        <v>0</v>
      </c>
      <c r="J137" s="61">
        <v>0</v>
      </c>
      <c r="K137" s="61">
        <v>0</v>
      </c>
      <c r="L137" s="61">
        <v>0</v>
      </c>
      <c r="M137" s="61">
        <v>0</v>
      </c>
      <c r="N137" s="61">
        <v>0</v>
      </c>
      <c r="O137" s="61">
        <v>0</v>
      </c>
      <c r="P137" s="61">
        <v>0</v>
      </c>
      <c r="R137" s="64">
        <v>1</v>
      </c>
    </row>
    <row r="138" spans="1:18" x14ac:dyDescent="0.35">
      <c r="A138" s="68" t="s">
        <v>130</v>
      </c>
      <c r="B138" s="61" t="str">
        <f t="shared" si="6"/>
        <v>2017</v>
      </c>
      <c r="C138" s="86">
        <v>22379</v>
      </c>
      <c r="D138" s="63">
        <v>2017</v>
      </c>
      <c r="E138" s="61">
        <f t="shared" si="7"/>
        <v>4068289</v>
      </c>
      <c r="F138" s="61">
        <v>1</v>
      </c>
      <c r="G138" s="61">
        <v>0</v>
      </c>
      <c r="H138" s="61">
        <v>0</v>
      </c>
      <c r="I138" s="61">
        <v>0</v>
      </c>
      <c r="J138" s="61">
        <v>0</v>
      </c>
      <c r="K138" s="61">
        <v>0</v>
      </c>
      <c r="L138" s="61">
        <v>0</v>
      </c>
      <c r="M138" s="61">
        <v>0</v>
      </c>
      <c r="N138" s="61">
        <v>0</v>
      </c>
      <c r="O138" s="61">
        <v>0</v>
      </c>
      <c r="P138" s="61">
        <v>0</v>
      </c>
      <c r="R138" s="64">
        <v>0</v>
      </c>
    </row>
    <row r="139" spans="1:18" x14ac:dyDescent="0.35">
      <c r="A139" s="68" t="s">
        <v>131</v>
      </c>
      <c r="B139" s="61" t="str">
        <f t="shared" si="6"/>
        <v>2017</v>
      </c>
      <c r="C139" s="86">
        <v>21234</v>
      </c>
      <c r="D139" s="63">
        <v>2017</v>
      </c>
      <c r="E139" s="61">
        <f t="shared" si="7"/>
        <v>4068289</v>
      </c>
      <c r="F139" s="61">
        <v>0</v>
      </c>
      <c r="G139" s="61">
        <v>1</v>
      </c>
      <c r="H139" s="61">
        <v>0</v>
      </c>
      <c r="I139" s="61">
        <v>0</v>
      </c>
      <c r="J139" s="61">
        <v>0</v>
      </c>
      <c r="K139" s="61">
        <v>0</v>
      </c>
      <c r="L139" s="61">
        <v>0</v>
      </c>
      <c r="M139" s="61">
        <v>0</v>
      </c>
      <c r="N139" s="61">
        <v>0</v>
      </c>
      <c r="O139" s="61">
        <v>0</v>
      </c>
      <c r="P139" s="61">
        <v>0</v>
      </c>
      <c r="R139" s="64">
        <v>0</v>
      </c>
    </row>
    <row r="140" spans="1:18" x14ac:dyDescent="0.35">
      <c r="A140" s="68" t="s">
        <v>132</v>
      </c>
      <c r="B140" s="61" t="str">
        <f t="shared" si="6"/>
        <v>2017</v>
      </c>
      <c r="C140" s="86">
        <v>23348</v>
      </c>
      <c r="D140" s="63">
        <v>2017</v>
      </c>
      <c r="E140" s="61">
        <f t="shared" si="7"/>
        <v>4068289</v>
      </c>
      <c r="F140" s="61">
        <v>0</v>
      </c>
      <c r="G140" s="61">
        <v>0</v>
      </c>
      <c r="H140" s="61">
        <v>1</v>
      </c>
      <c r="I140" s="61">
        <v>0</v>
      </c>
      <c r="J140" s="61">
        <v>0</v>
      </c>
      <c r="K140" s="61">
        <v>0</v>
      </c>
      <c r="L140" s="61">
        <v>0</v>
      </c>
      <c r="M140" s="61">
        <v>0</v>
      </c>
      <c r="N140" s="61">
        <v>0</v>
      </c>
      <c r="O140" s="61">
        <v>0</v>
      </c>
      <c r="P140" s="61">
        <v>0</v>
      </c>
      <c r="R140" s="64">
        <v>0</v>
      </c>
    </row>
    <row r="141" spans="1:18" x14ac:dyDescent="0.35">
      <c r="A141" s="68" t="s">
        <v>133</v>
      </c>
      <c r="B141" s="61" t="str">
        <f t="shared" si="6"/>
        <v>2017</v>
      </c>
      <c r="C141" s="86">
        <v>22294</v>
      </c>
      <c r="D141" s="63">
        <v>2017</v>
      </c>
      <c r="E141" s="61">
        <f t="shared" si="7"/>
        <v>4068289</v>
      </c>
      <c r="F141" s="61">
        <v>0</v>
      </c>
      <c r="G141" s="61">
        <v>0</v>
      </c>
      <c r="H141" s="61">
        <v>0</v>
      </c>
      <c r="I141" s="61">
        <v>1</v>
      </c>
      <c r="J141" s="61">
        <v>0</v>
      </c>
      <c r="K141" s="61">
        <v>0</v>
      </c>
      <c r="L141" s="61">
        <v>0</v>
      </c>
      <c r="M141" s="61">
        <v>0</v>
      </c>
      <c r="N141" s="61">
        <v>0</v>
      </c>
      <c r="O141" s="61">
        <v>0</v>
      </c>
      <c r="P141" s="61">
        <v>0</v>
      </c>
      <c r="R141" s="64">
        <v>0</v>
      </c>
    </row>
    <row r="142" spans="1:18" x14ac:dyDescent="0.35">
      <c r="A142" s="70" t="s">
        <v>134</v>
      </c>
      <c r="B142" s="61" t="str">
        <f t="shared" si="6"/>
        <v>2017</v>
      </c>
      <c r="C142" s="86">
        <v>23737</v>
      </c>
      <c r="D142" s="63">
        <v>2017</v>
      </c>
      <c r="E142" s="61">
        <f t="shared" si="7"/>
        <v>4068289</v>
      </c>
      <c r="F142" s="61">
        <v>0</v>
      </c>
      <c r="G142" s="61">
        <v>0</v>
      </c>
      <c r="H142" s="61">
        <v>0</v>
      </c>
      <c r="I142" s="61">
        <v>0</v>
      </c>
      <c r="J142" s="61">
        <v>1</v>
      </c>
      <c r="K142" s="61">
        <v>0</v>
      </c>
      <c r="L142" s="61">
        <v>0</v>
      </c>
      <c r="M142" s="61">
        <v>0</v>
      </c>
      <c r="N142" s="61">
        <v>0</v>
      </c>
      <c r="O142" s="61">
        <v>0</v>
      </c>
      <c r="P142" s="61">
        <v>0</v>
      </c>
      <c r="R142" s="64">
        <v>0</v>
      </c>
    </row>
    <row r="143" spans="1:18" x14ac:dyDescent="0.35">
      <c r="A143" s="68" t="s">
        <v>135</v>
      </c>
      <c r="B143" s="61" t="str">
        <f t="shared" si="6"/>
        <v>2017</v>
      </c>
      <c r="C143" s="86">
        <v>23055</v>
      </c>
      <c r="D143" s="63">
        <v>2017</v>
      </c>
      <c r="E143" s="61">
        <f t="shared" si="7"/>
        <v>4068289</v>
      </c>
      <c r="F143" s="61">
        <v>0</v>
      </c>
      <c r="G143" s="61">
        <v>0</v>
      </c>
      <c r="H143" s="61">
        <v>0</v>
      </c>
      <c r="I143" s="61">
        <v>0</v>
      </c>
      <c r="J143" s="61">
        <v>0</v>
      </c>
      <c r="K143" s="61">
        <v>1</v>
      </c>
      <c r="L143" s="61">
        <v>0</v>
      </c>
      <c r="M143" s="61">
        <v>0</v>
      </c>
      <c r="N143" s="61">
        <v>0</v>
      </c>
      <c r="O143" s="61">
        <v>0</v>
      </c>
      <c r="P143" s="61">
        <v>0</v>
      </c>
      <c r="R143" s="64">
        <v>0</v>
      </c>
    </row>
    <row r="144" spans="1:18" x14ac:dyDescent="0.35">
      <c r="A144" s="68" t="s">
        <v>136</v>
      </c>
      <c r="B144" s="61" t="str">
        <f t="shared" si="6"/>
        <v>2017</v>
      </c>
      <c r="C144" s="86">
        <v>22295</v>
      </c>
      <c r="D144" s="63">
        <v>2017</v>
      </c>
      <c r="E144" s="61">
        <f t="shared" si="7"/>
        <v>4068289</v>
      </c>
      <c r="F144" s="61">
        <v>0</v>
      </c>
      <c r="G144" s="61">
        <v>0</v>
      </c>
      <c r="H144" s="61">
        <v>0</v>
      </c>
      <c r="I144" s="61">
        <v>0</v>
      </c>
      <c r="J144" s="61">
        <v>0</v>
      </c>
      <c r="K144" s="61">
        <v>0</v>
      </c>
      <c r="L144" s="61">
        <v>1</v>
      </c>
      <c r="M144" s="61">
        <v>0</v>
      </c>
      <c r="N144" s="61">
        <v>0</v>
      </c>
      <c r="O144" s="61">
        <v>0</v>
      </c>
      <c r="P144" s="61">
        <v>0</v>
      </c>
      <c r="R144" s="64">
        <v>0</v>
      </c>
    </row>
    <row r="145" spans="1:18" x14ac:dyDescent="0.35">
      <c r="A145" s="68" t="s">
        <v>137</v>
      </c>
      <c r="B145" s="61" t="str">
        <f t="shared" si="6"/>
        <v>2017</v>
      </c>
      <c r="C145" s="86">
        <v>23540</v>
      </c>
      <c r="D145" s="63">
        <v>2017</v>
      </c>
      <c r="E145" s="61">
        <f t="shared" si="7"/>
        <v>4068289</v>
      </c>
      <c r="F145" s="61">
        <v>0</v>
      </c>
      <c r="G145" s="61">
        <v>0</v>
      </c>
      <c r="H145" s="61">
        <v>0</v>
      </c>
      <c r="I145" s="61">
        <v>0</v>
      </c>
      <c r="J145" s="61">
        <v>0</v>
      </c>
      <c r="K145" s="61">
        <v>0</v>
      </c>
      <c r="L145" s="61">
        <v>0</v>
      </c>
      <c r="M145" s="61">
        <v>1</v>
      </c>
      <c r="N145" s="61">
        <v>0</v>
      </c>
      <c r="O145" s="61">
        <v>0</v>
      </c>
      <c r="P145" s="61">
        <v>0</v>
      </c>
      <c r="R145" s="64">
        <v>0</v>
      </c>
    </row>
    <row r="146" spans="1:18" x14ac:dyDescent="0.35">
      <c r="A146" s="68" t="s">
        <v>138</v>
      </c>
      <c r="B146" s="61" t="str">
        <f t="shared" si="6"/>
        <v>2017</v>
      </c>
      <c r="C146" s="86">
        <v>22628</v>
      </c>
      <c r="D146" s="63">
        <v>2017</v>
      </c>
      <c r="E146" s="61">
        <f t="shared" si="7"/>
        <v>4068289</v>
      </c>
      <c r="F146" s="61">
        <v>0</v>
      </c>
      <c r="G146" s="61">
        <v>0</v>
      </c>
      <c r="H146" s="61">
        <v>0</v>
      </c>
      <c r="I146" s="61">
        <v>0</v>
      </c>
      <c r="J146" s="61">
        <v>0</v>
      </c>
      <c r="K146" s="61">
        <v>0</v>
      </c>
      <c r="L146" s="61">
        <v>0</v>
      </c>
      <c r="M146" s="61">
        <v>0</v>
      </c>
      <c r="N146" s="61">
        <v>1</v>
      </c>
      <c r="O146" s="61">
        <v>0</v>
      </c>
      <c r="P146" s="61">
        <v>0</v>
      </c>
      <c r="R146" s="64">
        <v>0</v>
      </c>
    </row>
    <row r="147" spans="1:18" x14ac:dyDescent="0.35">
      <c r="A147" s="68" t="s">
        <v>139</v>
      </c>
      <c r="B147" s="61" t="str">
        <f t="shared" si="6"/>
        <v>2017</v>
      </c>
      <c r="C147" s="86">
        <v>24105</v>
      </c>
      <c r="D147" s="63">
        <v>2017</v>
      </c>
      <c r="E147" s="61">
        <f t="shared" si="7"/>
        <v>4068289</v>
      </c>
      <c r="F147" s="61">
        <v>0</v>
      </c>
      <c r="G147" s="61">
        <v>0</v>
      </c>
      <c r="H147" s="61">
        <v>0</v>
      </c>
      <c r="I147" s="61">
        <v>0</v>
      </c>
      <c r="J147" s="61">
        <v>0</v>
      </c>
      <c r="K147" s="61">
        <v>0</v>
      </c>
      <c r="L147" s="61">
        <v>0</v>
      </c>
      <c r="M147" s="61">
        <v>0</v>
      </c>
      <c r="N147" s="61">
        <v>0</v>
      </c>
      <c r="O147" s="61">
        <v>1</v>
      </c>
      <c r="P147" s="61">
        <v>0</v>
      </c>
      <c r="R147" s="64">
        <v>0</v>
      </c>
    </row>
    <row r="148" spans="1:18" x14ac:dyDescent="0.35">
      <c r="A148" s="68" t="s">
        <v>140</v>
      </c>
      <c r="B148" s="61" t="str">
        <f t="shared" si="6"/>
        <v>2017</v>
      </c>
      <c r="C148" s="86">
        <v>23359</v>
      </c>
      <c r="D148" s="63">
        <v>2017</v>
      </c>
      <c r="E148" s="61">
        <f t="shared" si="7"/>
        <v>4068289</v>
      </c>
      <c r="F148" s="61">
        <v>0</v>
      </c>
      <c r="G148" s="61">
        <v>0</v>
      </c>
      <c r="H148" s="61">
        <v>0</v>
      </c>
      <c r="I148" s="61">
        <v>0</v>
      </c>
      <c r="J148" s="61">
        <v>0</v>
      </c>
      <c r="K148" s="61">
        <v>0</v>
      </c>
      <c r="L148" s="61">
        <v>0</v>
      </c>
      <c r="M148" s="61">
        <v>0</v>
      </c>
      <c r="N148" s="61">
        <v>0</v>
      </c>
      <c r="O148" s="61">
        <v>0</v>
      </c>
      <c r="P148" s="61">
        <v>1</v>
      </c>
      <c r="R148" s="64">
        <v>0</v>
      </c>
    </row>
    <row r="149" spans="1:18" x14ac:dyDescent="0.35">
      <c r="A149" s="68" t="s">
        <v>141</v>
      </c>
      <c r="B149" s="61" t="str">
        <f t="shared" si="6"/>
        <v>2017</v>
      </c>
      <c r="C149" s="86">
        <v>25422</v>
      </c>
      <c r="D149" s="63">
        <v>2017</v>
      </c>
      <c r="E149" s="61">
        <f t="shared" si="7"/>
        <v>4068289</v>
      </c>
      <c r="F149" s="61">
        <v>0</v>
      </c>
      <c r="G149" s="61">
        <v>0</v>
      </c>
      <c r="H149" s="61">
        <v>0</v>
      </c>
      <c r="I149" s="61">
        <v>0</v>
      </c>
      <c r="J149" s="61">
        <v>0</v>
      </c>
      <c r="K149" s="61">
        <v>0</v>
      </c>
      <c r="L149" s="61">
        <v>0</v>
      </c>
      <c r="M149" s="61">
        <v>0</v>
      </c>
      <c r="N149" s="61">
        <v>0</v>
      </c>
      <c r="O149" s="61">
        <v>0</v>
      </c>
      <c r="P149" s="61">
        <v>0</v>
      </c>
      <c r="R149" s="64">
        <v>1</v>
      </c>
    </row>
    <row r="150" spans="1:18" x14ac:dyDescent="0.35">
      <c r="A150" s="68" t="s">
        <v>142</v>
      </c>
      <c r="B150" s="61" t="str">
        <f t="shared" si="6"/>
        <v>2018</v>
      </c>
      <c r="C150" s="86">
        <v>24280</v>
      </c>
      <c r="D150" s="63">
        <v>2018</v>
      </c>
      <c r="E150" s="61">
        <f t="shared" si="7"/>
        <v>4072324</v>
      </c>
      <c r="F150" s="61">
        <v>1</v>
      </c>
      <c r="G150" s="61">
        <v>0</v>
      </c>
      <c r="H150" s="61">
        <v>0</v>
      </c>
      <c r="I150" s="61">
        <v>0</v>
      </c>
      <c r="J150" s="61">
        <v>0</v>
      </c>
      <c r="K150" s="61">
        <v>0</v>
      </c>
      <c r="L150" s="61">
        <v>0</v>
      </c>
      <c r="M150" s="61">
        <v>0</v>
      </c>
      <c r="N150" s="61">
        <v>0</v>
      </c>
      <c r="O150" s="61">
        <v>0</v>
      </c>
      <c r="P150" s="61">
        <v>0</v>
      </c>
      <c r="R150" s="64">
        <v>0</v>
      </c>
    </row>
    <row r="151" spans="1:18" x14ac:dyDescent="0.35">
      <c r="A151" s="68" t="s">
        <v>143</v>
      </c>
      <c r="B151" s="61" t="str">
        <f t="shared" si="6"/>
        <v>2018</v>
      </c>
      <c r="C151" s="86">
        <v>22007</v>
      </c>
      <c r="D151" s="63">
        <v>2018</v>
      </c>
      <c r="E151" s="61">
        <f t="shared" si="7"/>
        <v>4072324</v>
      </c>
      <c r="F151" s="61">
        <v>0</v>
      </c>
      <c r="G151" s="61">
        <v>1</v>
      </c>
      <c r="H151" s="61">
        <v>0</v>
      </c>
      <c r="I151" s="61">
        <v>0</v>
      </c>
      <c r="J151" s="61">
        <v>0</v>
      </c>
      <c r="K151" s="61">
        <v>0</v>
      </c>
      <c r="L151" s="61">
        <v>0</v>
      </c>
      <c r="M151" s="61">
        <v>0</v>
      </c>
      <c r="N151" s="61">
        <v>0</v>
      </c>
      <c r="O151" s="61">
        <v>0</v>
      </c>
      <c r="P151" s="61">
        <v>0</v>
      </c>
      <c r="R151" s="64">
        <v>0</v>
      </c>
    </row>
    <row r="152" spans="1:18" x14ac:dyDescent="0.35">
      <c r="A152" s="68" t="s">
        <v>144</v>
      </c>
      <c r="B152" s="61" t="str">
        <f t="shared" si="6"/>
        <v>2018</v>
      </c>
      <c r="C152" s="86">
        <v>24075</v>
      </c>
      <c r="D152" s="63">
        <v>2018</v>
      </c>
      <c r="E152" s="61">
        <f t="shared" si="7"/>
        <v>4072324</v>
      </c>
      <c r="F152" s="61">
        <v>0</v>
      </c>
      <c r="G152" s="61">
        <v>0</v>
      </c>
      <c r="H152" s="61">
        <v>1</v>
      </c>
      <c r="I152" s="61">
        <v>0</v>
      </c>
      <c r="J152" s="61">
        <v>0</v>
      </c>
      <c r="K152" s="61">
        <v>0</v>
      </c>
      <c r="L152" s="61">
        <v>0</v>
      </c>
      <c r="M152" s="61">
        <v>0</v>
      </c>
      <c r="N152" s="61">
        <v>0</v>
      </c>
      <c r="O152" s="61">
        <v>0</v>
      </c>
      <c r="P152" s="61">
        <v>0</v>
      </c>
      <c r="R152" s="64">
        <v>0</v>
      </c>
    </row>
    <row r="153" spans="1:18" x14ac:dyDescent="0.35">
      <c r="A153" s="68" t="s">
        <v>145</v>
      </c>
      <c r="B153" s="61" t="str">
        <f t="shared" si="6"/>
        <v>2018</v>
      </c>
      <c r="C153" s="86">
        <v>23242</v>
      </c>
      <c r="D153" s="63">
        <v>2018</v>
      </c>
      <c r="E153" s="61">
        <f t="shared" si="7"/>
        <v>4072324</v>
      </c>
      <c r="F153" s="61">
        <v>0</v>
      </c>
      <c r="G153" s="61">
        <v>0</v>
      </c>
      <c r="H153" s="61">
        <v>0</v>
      </c>
      <c r="I153" s="61">
        <v>1</v>
      </c>
      <c r="J153" s="61">
        <v>0</v>
      </c>
      <c r="K153" s="61">
        <v>0</v>
      </c>
      <c r="L153" s="61">
        <v>0</v>
      </c>
      <c r="M153" s="61">
        <v>0</v>
      </c>
      <c r="N153" s="61">
        <v>0</v>
      </c>
      <c r="O153" s="61">
        <v>0</v>
      </c>
      <c r="P153" s="61">
        <v>0</v>
      </c>
      <c r="R153" s="64">
        <v>0</v>
      </c>
    </row>
    <row r="154" spans="1:18" x14ac:dyDescent="0.35">
      <c r="A154" s="70" t="s">
        <v>146</v>
      </c>
      <c r="B154" s="61" t="str">
        <f t="shared" si="6"/>
        <v>2018</v>
      </c>
      <c r="C154" s="86">
        <v>24848</v>
      </c>
      <c r="D154" s="63">
        <v>2018</v>
      </c>
      <c r="E154" s="61">
        <f t="shared" si="7"/>
        <v>4072324</v>
      </c>
      <c r="F154" s="61">
        <v>0</v>
      </c>
      <c r="G154" s="61">
        <v>0</v>
      </c>
      <c r="H154" s="61">
        <v>0</v>
      </c>
      <c r="I154" s="61">
        <v>0</v>
      </c>
      <c r="J154" s="61">
        <v>1</v>
      </c>
      <c r="K154" s="61">
        <v>0</v>
      </c>
      <c r="L154" s="61">
        <v>0</v>
      </c>
      <c r="M154" s="61">
        <v>0</v>
      </c>
      <c r="N154" s="61">
        <v>0</v>
      </c>
      <c r="O154" s="61">
        <v>0</v>
      </c>
      <c r="P154" s="61">
        <v>0</v>
      </c>
      <c r="R154" s="64">
        <v>0</v>
      </c>
    </row>
    <row r="155" spans="1:18" x14ac:dyDescent="0.35">
      <c r="A155" s="68" t="s">
        <v>147</v>
      </c>
      <c r="B155" s="61" t="str">
        <f t="shared" si="6"/>
        <v>2018</v>
      </c>
      <c r="C155" s="86">
        <v>23329</v>
      </c>
      <c r="D155" s="63">
        <v>2018</v>
      </c>
      <c r="E155" s="61">
        <f t="shared" si="7"/>
        <v>4072324</v>
      </c>
      <c r="F155" s="61">
        <v>0</v>
      </c>
      <c r="G155" s="61">
        <v>0</v>
      </c>
      <c r="H155" s="61">
        <v>0</v>
      </c>
      <c r="I155" s="61">
        <v>0</v>
      </c>
      <c r="J155" s="61">
        <v>0</v>
      </c>
      <c r="K155" s="61">
        <v>1</v>
      </c>
      <c r="L155" s="61">
        <v>0</v>
      </c>
      <c r="M155" s="61">
        <v>0</v>
      </c>
      <c r="N155" s="61">
        <v>0</v>
      </c>
      <c r="O155" s="61">
        <v>0</v>
      </c>
      <c r="P155" s="61">
        <v>0</v>
      </c>
      <c r="R155" s="64">
        <v>0</v>
      </c>
    </row>
    <row r="156" spans="1:18" x14ac:dyDescent="0.35">
      <c r="A156" s="68" t="s">
        <v>148</v>
      </c>
      <c r="B156" s="61" t="str">
        <f t="shared" si="6"/>
        <v>2018</v>
      </c>
      <c r="C156" s="86">
        <v>23581</v>
      </c>
      <c r="D156" s="63">
        <v>2018</v>
      </c>
      <c r="E156" s="61">
        <f t="shared" si="7"/>
        <v>4072324</v>
      </c>
      <c r="F156" s="61">
        <v>0</v>
      </c>
      <c r="G156" s="61">
        <v>0</v>
      </c>
      <c r="H156" s="61">
        <v>0</v>
      </c>
      <c r="I156" s="61">
        <v>0</v>
      </c>
      <c r="J156" s="61">
        <v>0</v>
      </c>
      <c r="K156" s="61">
        <v>0</v>
      </c>
      <c r="L156" s="61">
        <v>1</v>
      </c>
      <c r="M156" s="61">
        <v>0</v>
      </c>
      <c r="N156" s="61">
        <v>0</v>
      </c>
      <c r="O156" s="61">
        <v>0</v>
      </c>
      <c r="P156" s="61">
        <v>0</v>
      </c>
      <c r="R156" s="64">
        <v>0</v>
      </c>
    </row>
    <row r="157" spans="1:18" x14ac:dyDescent="0.35">
      <c r="A157" s="68" t="s">
        <v>149</v>
      </c>
      <c r="B157" s="61" t="str">
        <f t="shared" si="6"/>
        <v>2018</v>
      </c>
      <c r="C157" s="86">
        <v>24762</v>
      </c>
      <c r="D157" s="63">
        <v>2018</v>
      </c>
      <c r="E157" s="61">
        <f t="shared" si="7"/>
        <v>4072324</v>
      </c>
      <c r="F157" s="61">
        <v>0</v>
      </c>
      <c r="G157" s="61">
        <v>0</v>
      </c>
      <c r="H157" s="61">
        <v>0</v>
      </c>
      <c r="I157" s="61">
        <v>0</v>
      </c>
      <c r="J157" s="61">
        <v>0</v>
      </c>
      <c r="K157" s="61">
        <v>0</v>
      </c>
      <c r="L157" s="61">
        <v>0</v>
      </c>
      <c r="M157" s="61">
        <v>1</v>
      </c>
      <c r="N157" s="61">
        <v>0</v>
      </c>
      <c r="O157" s="61">
        <v>0</v>
      </c>
      <c r="P157" s="61">
        <v>0</v>
      </c>
      <c r="R157" s="64">
        <v>0</v>
      </c>
    </row>
    <row r="158" spans="1:18" x14ac:dyDescent="0.35">
      <c r="A158" s="68" t="s">
        <v>150</v>
      </c>
      <c r="B158" s="61" t="str">
        <f t="shared" si="6"/>
        <v>2018</v>
      </c>
      <c r="C158" s="86">
        <v>22930</v>
      </c>
      <c r="D158" s="63">
        <v>2018</v>
      </c>
      <c r="E158" s="61">
        <f t="shared" si="7"/>
        <v>4072324</v>
      </c>
      <c r="F158" s="61">
        <v>0</v>
      </c>
      <c r="G158" s="61">
        <v>0</v>
      </c>
      <c r="H158" s="61">
        <v>0</v>
      </c>
      <c r="I158" s="61">
        <v>0</v>
      </c>
      <c r="J158" s="61">
        <v>0</v>
      </c>
      <c r="K158" s="61">
        <v>0</v>
      </c>
      <c r="L158" s="61">
        <v>0</v>
      </c>
      <c r="M158" s="61">
        <v>0</v>
      </c>
      <c r="N158" s="61">
        <v>1</v>
      </c>
      <c r="O158" s="61">
        <v>0</v>
      </c>
      <c r="P158" s="61">
        <v>0</v>
      </c>
      <c r="R158" s="64">
        <v>0</v>
      </c>
    </row>
    <row r="159" spans="1:18" x14ac:dyDescent="0.35">
      <c r="A159" s="68" t="s">
        <v>151</v>
      </c>
      <c r="B159" s="61" t="str">
        <f t="shared" si="6"/>
        <v>2018</v>
      </c>
      <c r="C159" s="86">
        <v>25608</v>
      </c>
      <c r="D159" s="63">
        <v>2018</v>
      </c>
      <c r="E159" s="61">
        <f t="shared" si="7"/>
        <v>4072324</v>
      </c>
      <c r="F159" s="61">
        <v>0</v>
      </c>
      <c r="G159" s="61">
        <v>0</v>
      </c>
      <c r="H159" s="61">
        <v>0</v>
      </c>
      <c r="I159" s="61">
        <v>0</v>
      </c>
      <c r="J159" s="61">
        <v>0</v>
      </c>
      <c r="K159" s="61">
        <v>0</v>
      </c>
      <c r="L159" s="61">
        <v>0</v>
      </c>
      <c r="M159" s="61">
        <v>0</v>
      </c>
      <c r="N159" s="61">
        <v>0</v>
      </c>
      <c r="O159" s="61">
        <v>1</v>
      </c>
      <c r="P159" s="61">
        <v>0</v>
      </c>
      <c r="R159" s="64">
        <v>0</v>
      </c>
    </row>
    <row r="160" spans="1:18" x14ac:dyDescent="0.35">
      <c r="A160" s="68" t="s">
        <v>152</v>
      </c>
      <c r="B160" s="61" t="str">
        <f t="shared" si="6"/>
        <v>2018</v>
      </c>
      <c r="C160" s="86">
        <v>24553</v>
      </c>
      <c r="D160" s="63">
        <v>2018</v>
      </c>
      <c r="E160" s="61">
        <f t="shared" si="7"/>
        <v>4072324</v>
      </c>
      <c r="F160" s="61">
        <v>0</v>
      </c>
      <c r="G160" s="61">
        <v>0</v>
      </c>
      <c r="H160" s="61">
        <v>0</v>
      </c>
      <c r="I160" s="61">
        <v>0</v>
      </c>
      <c r="J160" s="61">
        <v>0</v>
      </c>
      <c r="K160" s="61">
        <v>0</v>
      </c>
      <c r="L160" s="61">
        <v>0</v>
      </c>
      <c r="M160" s="61">
        <v>0</v>
      </c>
      <c r="N160" s="61">
        <v>0</v>
      </c>
      <c r="O160" s="61">
        <v>0</v>
      </c>
      <c r="P160" s="61">
        <v>1</v>
      </c>
      <c r="R160" s="64">
        <v>0</v>
      </c>
    </row>
    <row r="161" spans="1:18" x14ac:dyDescent="0.35">
      <c r="A161" s="68" t="s">
        <v>153</v>
      </c>
      <c r="B161" s="61" t="str">
        <f t="shared" si="6"/>
        <v>2018</v>
      </c>
      <c r="C161" s="86">
        <v>25631</v>
      </c>
      <c r="D161" s="63">
        <v>2018</v>
      </c>
      <c r="E161" s="61">
        <f t="shared" si="7"/>
        <v>4072324</v>
      </c>
      <c r="F161" s="61">
        <v>0</v>
      </c>
      <c r="G161" s="61">
        <v>0</v>
      </c>
      <c r="H161" s="61">
        <v>0</v>
      </c>
      <c r="I161" s="61">
        <v>0</v>
      </c>
      <c r="J161" s="61">
        <v>0</v>
      </c>
      <c r="K161" s="61">
        <v>0</v>
      </c>
      <c r="L161" s="61">
        <v>0</v>
      </c>
      <c r="M161" s="61">
        <v>0</v>
      </c>
      <c r="N161" s="61">
        <v>0</v>
      </c>
      <c r="O161" s="61">
        <v>0</v>
      </c>
      <c r="P161" s="61">
        <v>0</v>
      </c>
      <c r="R161" s="64">
        <v>1</v>
      </c>
    </row>
    <row r="162" spans="1:18" x14ac:dyDescent="0.35">
      <c r="A162" s="68" t="s">
        <v>154</v>
      </c>
      <c r="B162" s="61" t="str">
        <f t="shared" ref="B162:B193" si="8">MID(A162,6,4)</f>
        <v>2019</v>
      </c>
      <c r="C162" s="86">
        <v>25037</v>
      </c>
      <c r="D162" s="63">
        <v>2019</v>
      </c>
      <c r="E162" s="61">
        <f t="shared" si="7"/>
        <v>4076361</v>
      </c>
      <c r="F162" s="61">
        <v>1</v>
      </c>
      <c r="G162" s="61">
        <v>0</v>
      </c>
      <c r="H162" s="61">
        <v>0</v>
      </c>
      <c r="I162" s="61">
        <v>0</v>
      </c>
      <c r="J162" s="61">
        <v>0</v>
      </c>
      <c r="K162" s="61">
        <v>0</v>
      </c>
      <c r="L162" s="61">
        <v>0</v>
      </c>
      <c r="M162" s="61">
        <v>0</v>
      </c>
      <c r="N162" s="61">
        <v>0</v>
      </c>
      <c r="O162" s="61">
        <v>0</v>
      </c>
      <c r="P162" s="61">
        <v>0</v>
      </c>
      <c r="R162" s="64">
        <v>0</v>
      </c>
    </row>
    <row r="163" spans="1:18" x14ac:dyDescent="0.35">
      <c r="A163" s="68" t="s">
        <v>155</v>
      </c>
      <c r="B163" s="61" t="str">
        <f t="shared" si="8"/>
        <v>2019</v>
      </c>
      <c r="C163" s="86">
        <v>23240</v>
      </c>
      <c r="D163" s="63">
        <v>2019</v>
      </c>
      <c r="E163" s="61">
        <f t="shared" si="7"/>
        <v>4076361</v>
      </c>
      <c r="F163" s="61">
        <v>0</v>
      </c>
      <c r="G163" s="61">
        <v>1</v>
      </c>
      <c r="H163" s="61">
        <v>0</v>
      </c>
      <c r="I163" s="61">
        <v>0</v>
      </c>
      <c r="J163" s="61">
        <v>0</v>
      </c>
      <c r="K163" s="61">
        <v>0</v>
      </c>
      <c r="L163" s="61">
        <v>0</v>
      </c>
      <c r="M163" s="61">
        <v>0</v>
      </c>
      <c r="N163" s="61">
        <v>0</v>
      </c>
      <c r="O163" s="61">
        <v>0</v>
      </c>
      <c r="P163" s="61">
        <v>0</v>
      </c>
      <c r="R163" s="64">
        <v>0</v>
      </c>
    </row>
    <row r="164" spans="1:18" x14ac:dyDescent="0.35">
      <c r="A164" s="68" t="s">
        <v>156</v>
      </c>
      <c r="B164" s="61" t="str">
        <f t="shared" si="8"/>
        <v>2019</v>
      </c>
      <c r="C164" s="86">
        <v>24577</v>
      </c>
      <c r="D164" s="63">
        <v>2019</v>
      </c>
      <c r="E164" s="61">
        <f t="shared" si="7"/>
        <v>4076361</v>
      </c>
      <c r="F164" s="61">
        <v>0</v>
      </c>
      <c r="G164" s="61">
        <v>0</v>
      </c>
      <c r="H164" s="61">
        <v>1</v>
      </c>
      <c r="I164" s="61">
        <v>0</v>
      </c>
      <c r="J164" s="61">
        <v>0</v>
      </c>
      <c r="K164" s="61">
        <v>0</v>
      </c>
      <c r="L164" s="61">
        <v>0</v>
      </c>
      <c r="M164" s="61">
        <v>0</v>
      </c>
      <c r="N164" s="61">
        <v>0</v>
      </c>
      <c r="O164" s="61">
        <v>0</v>
      </c>
      <c r="P164" s="61">
        <v>0</v>
      </c>
      <c r="R164" s="64">
        <v>0</v>
      </c>
    </row>
    <row r="165" spans="1:18" x14ac:dyDescent="0.35">
      <c r="A165" s="68" t="s">
        <v>157</v>
      </c>
      <c r="B165" s="61" t="str">
        <f t="shared" si="8"/>
        <v>2019</v>
      </c>
      <c r="C165" s="86">
        <v>24806</v>
      </c>
      <c r="D165" s="63">
        <v>2019</v>
      </c>
      <c r="E165" s="61">
        <f t="shared" si="7"/>
        <v>4076361</v>
      </c>
      <c r="F165" s="61">
        <v>0</v>
      </c>
      <c r="G165" s="61">
        <v>0</v>
      </c>
      <c r="H165" s="61">
        <v>0</v>
      </c>
      <c r="I165" s="61">
        <v>1</v>
      </c>
      <c r="J165" s="61">
        <v>0</v>
      </c>
      <c r="K165" s="61">
        <v>0</v>
      </c>
      <c r="L165" s="61">
        <v>0</v>
      </c>
      <c r="M165" s="61">
        <v>0</v>
      </c>
      <c r="N165" s="61">
        <v>0</v>
      </c>
      <c r="O165" s="61">
        <v>0</v>
      </c>
      <c r="P165" s="61">
        <v>0</v>
      </c>
      <c r="R165" s="64">
        <v>0</v>
      </c>
    </row>
    <row r="166" spans="1:18" x14ac:dyDescent="0.35">
      <c r="A166" s="70" t="s">
        <v>158</v>
      </c>
      <c r="B166" s="61" t="str">
        <f t="shared" si="8"/>
        <v>2019</v>
      </c>
      <c r="C166" s="86">
        <v>25717</v>
      </c>
      <c r="D166" s="63">
        <v>2019</v>
      </c>
      <c r="E166" s="61">
        <f t="shared" si="7"/>
        <v>4076361</v>
      </c>
      <c r="F166" s="61">
        <v>0</v>
      </c>
      <c r="G166" s="61">
        <v>0</v>
      </c>
      <c r="H166" s="61">
        <v>0</v>
      </c>
      <c r="I166" s="61">
        <v>0</v>
      </c>
      <c r="J166" s="61">
        <v>1</v>
      </c>
      <c r="K166" s="61">
        <v>0</v>
      </c>
      <c r="L166" s="61">
        <v>0</v>
      </c>
      <c r="M166" s="61">
        <v>0</v>
      </c>
      <c r="N166" s="61">
        <v>0</v>
      </c>
      <c r="O166" s="61">
        <v>0</v>
      </c>
      <c r="P166" s="61">
        <v>0</v>
      </c>
      <c r="R166" s="64">
        <v>0</v>
      </c>
    </row>
    <row r="167" spans="1:18" x14ac:dyDescent="0.35">
      <c r="A167" s="68" t="s">
        <v>159</v>
      </c>
      <c r="B167" s="61" t="str">
        <f t="shared" si="8"/>
        <v>2019</v>
      </c>
      <c r="C167" s="86">
        <v>23745</v>
      </c>
      <c r="D167" s="63">
        <v>2019</v>
      </c>
      <c r="E167" s="61">
        <f t="shared" si="7"/>
        <v>4076361</v>
      </c>
      <c r="F167" s="61">
        <v>0</v>
      </c>
      <c r="G167" s="61">
        <v>0</v>
      </c>
      <c r="H167" s="61">
        <v>0</v>
      </c>
      <c r="I167" s="61">
        <v>0</v>
      </c>
      <c r="J167" s="61">
        <v>0</v>
      </c>
      <c r="K167" s="61">
        <v>1</v>
      </c>
      <c r="L167" s="61">
        <v>0</v>
      </c>
      <c r="M167" s="61">
        <v>0</v>
      </c>
      <c r="N167" s="61">
        <v>0</v>
      </c>
      <c r="O167" s="61">
        <v>0</v>
      </c>
      <c r="P167" s="61">
        <v>0</v>
      </c>
      <c r="R167" s="64">
        <v>0</v>
      </c>
    </row>
    <row r="168" spans="1:18" x14ac:dyDescent="0.35">
      <c r="A168" s="68" t="s">
        <v>160</v>
      </c>
      <c r="B168" s="61" t="str">
        <f t="shared" si="8"/>
        <v>2019</v>
      </c>
      <c r="C168" s="86">
        <v>24531</v>
      </c>
      <c r="D168" s="63">
        <v>2019</v>
      </c>
      <c r="E168" s="61">
        <f t="shared" si="7"/>
        <v>4076361</v>
      </c>
      <c r="F168" s="61">
        <v>0</v>
      </c>
      <c r="G168" s="61">
        <v>0</v>
      </c>
      <c r="H168" s="61">
        <v>0</v>
      </c>
      <c r="I168" s="61">
        <v>0</v>
      </c>
      <c r="J168" s="61">
        <v>0</v>
      </c>
      <c r="K168" s="61">
        <v>0</v>
      </c>
      <c r="L168" s="61">
        <v>1</v>
      </c>
      <c r="M168" s="61">
        <v>0</v>
      </c>
      <c r="N168" s="61">
        <v>0</v>
      </c>
      <c r="O168" s="61">
        <v>0</v>
      </c>
      <c r="P168" s="61">
        <v>0</v>
      </c>
      <c r="R168" s="64">
        <v>0</v>
      </c>
    </row>
    <row r="169" spans="1:18" x14ac:dyDescent="0.35">
      <c r="A169" s="68" t="s">
        <v>161</v>
      </c>
      <c r="B169" s="61" t="str">
        <f t="shared" si="8"/>
        <v>2019</v>
      </c>
      <c r="C169" s="86">
        <v>24710</v>
      </c>
      <c r="D169" s="63">
        <v>2019</v>
      </c>
      <c r="E169" s="61">
        <f t="shared" si="7"/>
        <v>4076361</v>
      </c>
      <c r="F169" s="61">
        <v>0</v>
      </c>
      <c r="G169" s="61">
        <v>0</v>
      </c>
      <c r="H169" s="61">
        <v>0</v>
      </c>
      <c r="I169" s="61">
        <v>0</v>
      </c>
      <c r="J169" s="61">
        <v>0</v>
      </c>
      <c r="K169" s="61">
        <v>0</v>
      </c>
      <c r="L169" s="61">
        <v>0</v>
      </c>
      <c r="M169" s="61">
        <v>1</v>
      </c>
      <c r="N169" s="61">
        <v>0</v>
      </c>
      <c r="O169" s="61">
        <v>0</v>
      </c>
      <c r="P169" s="61">
        <v>0</v>
      </c>
      <c r="R169" s="64">
        <v>0</v>
      </c>
    </row>
    <row r="170" spans="1:18" x14ac:dyDescent="0.35">
      <c r="A170" s="68" t="s">
        <v>162</v>
      </c>
      <c r="B170" s="61" t="str">
        <f t="shared" si="8"/>
        <v>2019</v>
      </c>
      <c r="C170" s="86">
        <v>23630</v>
      </c>
      <c r="D170" s="63">
        <v>2019</v>
      </c>
      <c r="E170" s="61">
        <f t="shared" si="7"/>
        <v>4076361</v>
      </c>
      <c r="F170" s="61">
        <v>0</v>
      </c>
      <c r="G170" s="61">
        <v>0</v>
      </c>
      <c r="H170" s="61">
        <v>0</v>
      </c>
      <c r="I170" s="61">
        <v>0</v>
      </c>
      <c r="J170" s="61">
        <v>0</v>
      </c>
      <c r="K170" s="61">
        <v>0</v>
      </c>
      <c r="L170" s="61">
        <v>0</v>
      </c>
      <c r="M170" s="61">
        <v>0</v>
      </c>
      <c r="N170" s="61">
        <v>1</v>
      </c>
      <c r="O170" s="61">
        <v>0</v>
      </c>
      <c r="P170" s="61">
        <v>0</v>
      </c>
      <c r="R170" s="64">
        <v>0</v>
      </c>
    </row>
    <row r="171" spans="1:18" x14ac:dyDescent="0.35">
      <c r="A171" s="68" t="s">
        <v>163</v>
      </c>
      <c r="B171" s="61" t="str">
        <f t="shared" si="8"/>
        <v>2019</v>
      </c>
      <c r="C171" s="86">
        <v>26097</v>
      </c>
      <c r="D171" s="63">
        <v>2019</v>
      </c>
      <c r="E171" s="61">
        <f t="shared" si="7"/>
        <v>4076361</v>
      </c>
      <c r="F171" s="61">
        <v>0</v>
      </c>
      <c r="G171" s="61">
        <v>0</v>
      </c>
      <c r="H171" s="61">
        <v>0</v>
      </c>
      <c r="I171" s="61">
        <v>0</v>
      </c>
      <c r="J171" s="61">
        <v>0</v>
      </c>
      <c r="K171" s="61">
        <v>0</v>
      </c>
      <c r="L171" s="61">
        <v>0</v>
      </c>
      <c r="M171" s="61">
        <v>0</v>
      </c>
      <c r="N171" s="61">
        <v>0</v>
      </c>
      <c r="O171" s="61">
        <v>1</v>
      </c>
      <c r="P171" s="61">
        <v>0</v>
      </c>
      <c r="R171" s="64">
        <v>0</v>
      </c>
    </row>
    <row r="172" spans="1:18" x14ac:dyDescent="0.35">
      <c r="A172" s="68" t="s">
        <v>164</v>
      </c>
      <c r="B172" s="61" t="str">
        <f t="shared" si="8"/>
        <v>2019</v>
      </c>
      <c r="C172" s="86">
        <v>23964</v>
      </c>
      <c r="D172" s="63">
        <v>2019</v>
      </c>
      <c r="E172" s="61">
        <f t="shared" si="7"/>
        <v>4076361</v>
      </c>
      <c r="F172" s="61">
        <v>0</v>
      </c>
      <c r="G172" s="61">
        <v>0</v>
      </c>
      <c r="H172" s="61">
        <v>0</v>
      </c>
      <c r="I172" s="61">
        <v>0</v>
      </c>
      <c r="J172" s="61">
        <v>0</v>
      </c>
      <c r="K172" s="61">
        <v>0</v>
      </c>
      <c r="L172" s="61">
        <v>0</v>
      </c>
      <c r="M172" s="61">
        <v>0</v>
      </c>
      <c r="N172" s="61">
        <v>0</v>
      </c>
      <c r="O172" s="61">
        <v>0</v>
      </c>
      <c r="P172" s="61">
        <v>1</v>
      </c>
      <c r="R172" s="64">
        <v>0</v>
      </c>
    </row>
    <row r="173" spans="1:18" x14ac:dyDescent="0.35">
      <c r="A173" s="68" t="s">
        <v>165</v>
      </c>
      <c r="B173" s="61" t="str">
        <f t="shared" si="8"/>
        <v>2019</v>
      </c>
      <c r="C173" s="86">
        <v>26509</v>
      </c>
      <c r="D173" s="63">
        <v>2019</v>
      </c>
      <c r="E173" s="61">
        <f t="shared" si="7"/>
        <v>4076361</v>
      </c>
      <c r="F173" s="61">
        <v>0</v>
      </c>
      <c r="G173" s="61">
        <v>0</v>
      </c>
      <c r="H173" s="61">
        <v>0</v>
      </c>
      <c r="I173" s="61">
        <v>0</v>
      </c>
      <c r="J173" s="61">
        <v>0</v>
      </c>
      <c r="K173" s="61">
        <v>0</v>
      </c>
      <c r="L173" s="61">
        <v>0</v>
      </c>
      <c r="M173" s="61">
        <v>0</v>
      </c>
      <c r="N173" s="61">
        <v>0</v>
      </c>
      <c r="O173" s="61">
        <v>0</v>
      </c>
      <c r="P173" s="61">
        <v>0</v>
      </c>
      <c r="R173" s="64">
        <v>1</v>
      </c>
    </row>
    <row r="174" spans="1:18" x14ac:dyDescent="0.35">
      <c r="A174" s="68" t="s">
        <v>166</v>
      </c>
      <c r="B174" s="61" t="str">
        <f t="shared" si="8"/>
        <v>2020</v>
      </c>
      <c r="C174" s="86">
        <v>25209</v>
      </c>
      <c r="D174" s="63">
        <v>2020</v>
      </c>
      <c r="E174" s="61">
        <f t="shared" si="7"/>
        <v>4080400</v>
      </c>
      <c r="F174" s="61">
        <v>1</v>
      </c>
      <c r="G174" s="61">
        <v>0</v>
      </c>
      <c r="H174" s="61">
        <v>0</v>
      </c>
      <c r="I174" s="61">
        <v>0</v>
      </c>
      <c r="J174" s="61">
        <v>0</v>
      </c>
      <c r="K174" s="61">
        <v>0</v>
      </c>
      <c r="L174" s="61">
        <v>0</v>
      </c>
      <c r="M174" s="61">
        <v>0</v>
      </c>
      <c r="N174" s="61">
        <v>0</v>
      </c>
      <c r="O174" s="61">
        <v>0</v>
      </c>
      <c r="P174" s="61">
        <v>0</v>
      </c>
      <c r="R174" s="64">
        <v>0</v>
      </c>
    </row>
    <row r="175" spans="1:18" x14ac:dyDescent="0.35">
      <c r="A175" s="68" t="s">
        <v>167</v>
      </c>
      <c r="B175" s="61" t="str">
        <f t="shared" si="8"/>
        <v>2020</v>
      </c>
      <c r="C175" s="86">
        <v>23934</v>
      </c>
      <c r="D175" s="63">
        <v>2020</v>
      </c>
      <c r="E175" s="61">
        <f t="shared" si="7"/>
        <v>4080400</v>
      </c>
      <c r="F175" s="61">
        <v>0</v>
      </c>
      <c r="G175" s="61">
        <v>1</v>
      </c>
      <c r="H175" s="61">
        <v>0</v>
      </c>
      <c r="I175" s="61">
        <v>0</v>
      </c>
      <c r="J175" s="61">
        <v>0</v>
      </c>
      <c r="K175" s="61">
        <v>0</v>
      </c>
      <c r="L175" s="61">
        <v>0</v>
      </c>
      <c r="M175" s="61">
        <v>0</v>
      </c>
      <c r="N175" s="61">
        <v>0</v>
      </c>
      <c r="O175" s="61">
        <v>0</v>
      </c>
      <c r="P175" s="61">
        <v>0</v>
      </c>
      <c r="R175" s="64">
        <v>0</v>
      </c>
    </row>
    <row r="176" spans="1:18" x14ac:dyDescent="0.35">
      <c r="A176" s="68" t="s">
        <v>168</v>
      </c>
      <c r="B176" s="61" t="str">
        <f t="shared" si="8"/>
        <v>2020</v>
      </c>
      <c r="C176" s="86">
        <v>27839</v>
      </c>
      <c r="D176" s="63">
        <v>2020</v>
      </c>
      <c r="E176" s="61">
        <f t="shared" si="7"/>
        <v>4080400</v>
      </c>
      <c r="F176" s="61">
        <v>0</v>
      </c>
      <c r="G176" s="61">
        <v>0</v>
      </c>
      <c r="H176" s="61">
        <v>1</v>
      </c>
      <c r="I176" s="61">
        <v>0</v>
      </c>
      <c r="J176" s="61">
        <v>0</v>
      </c>
      <c r="K176" s="61">
        <v>0</v>
      </c>
      <c r="L176" s="61">
        <v>0</v>
      </c>
      <c r="M176" s="61">
        <v>0</v>
      </c>
      <c r="N176" s="61">
        <v>0</v>
      </c>
      <c r="O176" s="61">
        <v>0</v>
      </c>
      <c r="P176" s="61">
        <v>0</v>
      </c>
      <c r="R176" s="64">
        <v>0</v>
      </c>
    </row>
    <row r="177" spans="1:18" x14ac:dyDescent="0.35">
      <c r="A177" s="68" t="s">
        <v>169</v>
      </c>
      <c r="B177" s="61" t="str">
        <f t="shared" si="8"/>
        <v>2020</v>
      </c>
      <c r="C177" s="86">
        <v>24749</v>
      </c>
      <c r="D177" s="63">
        <v>2020</v>
      </c>
      <c r="E177" s="61">
        <f t="shared" si="7"/>
        <v>4080400</v>
      </c>
      <c r="F177" s="61">
        <v>0</v>
      </c>
      <c r="G177" s="61">
        <v>0</v>
      </c>
      <c r="H177" s="61">
        <v>0</v>
      </c>
      <c r="I177" s="61">
        <v>1</v>
      </c>
      <c r="J177" s="61">
        <v>0</v>
      </c>
      <c r="K177" s="61">
        <v>0</v>
      </c>
      <c r="L177" s="61">
        <v>0</v>
      </c>
      <c r="M177" s="61">
        <v>0</v>
      </c>
      <c r="N177" s="61">
        <v>0</v>
      </c>
      <c r="O177" s="61">
        <v>0</v>
      </c>
      <c r="P177" s="61">
        <v>0</v>
      </c>
      <c r="R177" s="64">
        <v>0</v>
      </c>
    </row>
    <row r="178" spans="1:18" x14ac:dyDescent="0.35">
      <c r="A178" s="70" t="s">
        <v>170</v>
      </c>
      <c r="B178" s="61" t="str">
        <f t="shared" si="8"/>
        <v>2020</v>
      </c>
      <c r="C178" s="86">
        <v>24923</v>
      </c>
      <c r="D178" s="63">
        <v>2020</v>
      </c>
      <c r="E178" s="61">
        <f t="shared" si="7"/>
        <v>4080400</v>
      </c>
      <c r="F178" s="61">
        <v>0</v>
      </c>
      <c r="G178" s="61">
        <v>0</v>
      </c>
      <c r="H178" s="61">
        <v>0</v>
      </c>
      <c r="I178" s="61">
        <v>0</v>
      </c>
      <c r="J178" s="61">
        <v>1</v>
      </c>
      <c r="K178" s="61">
        <v>0</v>
      </c>
      <c r="L178" s="61">
        <v>0</v>
      </c>
      <c r="M178" s="61">
        <v>0</v>
      </c>
      <c r="N178" s="61">
        <v>0</v>
      </c>
      <c r="O178" s="61">
        <v>0</v>
      </c>
      <c r="P178" s="61">
        <v>0</v>
      </c>
      <c r="R178" s="64">
        <v>0</v>
      </c>
    </row>
    <row r="179" spans="1:18" x14ac:dyDescent="0.35">
      <c r="A179" s="68" t="s">
        <v>171</v>
      </c>
      <c r="B179" s="61" t="str">
        <f t="shared" si="8"/>
        <v>2020</v>
      </c>
      <c r="C179" s="86">
        <v>25841</v>
      </c>
      <c r="D179" s="63">
        <v>2020</v>
      </c>
      <c r="E179" s="61">
        <f t="shared" si="7"/>
        <v>4080400</v>
      </c>
      <c r="F179" s="61">
        <v>0</v>
      </c>
      <c r="G179" s="61">
        <v>0</v>
      </c>
      <c r="H179" s="61">
        <v>0</v>
      </c>
      <c r="I179" s="61">
        <v>0</v>
      </c>
      <c r="J179" s="61">
        <v>0</v>
      </c>
      <c r="K179" s="61">
        <v>1</v>
      </c>
      <c r="L179" s="61">
        <v>0</v>
      </c>
      <c r="M179" s="61">
        <v>0</v>
      </c>
      <c r="N179" s="61">
        <v>0</v>
      </c>
      <c r="O179" s="61">
        <v>0</v>
      </c>
      <c r="P179" s="61">
        <v>0</v>
      </c>
      <c r="R179" s="64">
        <v>0</v>
      </c>
    </row>
    <row r="180" spans="1:18" x14ac:dyDescent="0.35">
      <c r="A180" s="68" t="s">
        <v>172</v>
      </c>
      <c r="B180" s="61" t="str">
        <f t="shared" si="8"/>
        <v>2020</v>
      </c>
      <c r="C180" s="86">
        <v>26334</v>
      </c>
      <c r="D180" s="63">
        <v>2020</v>
      </c>
      <c r="E180" s="61">
        <f t="shared" si="7"/>
        <v>4080400</v>
      </c>
      <c r="F180" s="61">
        <v>0</v>
      </c>
      <c r="G180" s="61">
        <v>0</v>
      </c>
      <c r="H180" s="61">
        <v>0</v>
      </c>
      <c r="I180" s="61">
        <v>0</v>
      </c>
      <c r="J180" s="61">
        <v>0</v>
      </c>
      <c r="K180" s="61">
        <v>0</v>
      </c>
      <c r="L180" s="61">
        <v>1</v>
      </c>
      <c r="M180" s="61">
        <v>0</v>
      </c>
      <c r="N180" s="61">
        <v>0</v>
      </c>
      <c r="O180" s="61">
        <v>0</v>
      </c>
      <c r="P180" s="61">
        <v>0</v>
      </c>
      <c r="R180" s="64">
        <v>0</v>
      </c>
    </row>
    <row r="181" spans="1:18" ht="15" thickBot="1" x14ac:dyDescent="0.4">
      <c r="A181" s="71" t="s">
        <v>173</v>
      </c>
      <c r="B181" s="72" t="str">
        <f t="shared" si="8"/>
        <v>2020</v>
      </c>
      <c r="C181" s="87">
        <v>25913</v>
      </c>
      <c r="D181" s="74">
        <v>2020</v>
      </c>
      <c r="E181" s="72">
        <f t="shared" si="7"/>
        <v>4080400</v>
      </c>
      <c r="F181" s="72">
        <v>0</v>
      </c>
      <c r="G181" s="72">
        <v>0</v>
      </c>
      <c r="H181" s="72">
        <v>0</v>
      </c>
      <c r="I181" s="72">
        <v>0</v>
      </c>
      <c r="J181" s="72">
        <v>0</v>
      </c>
      <c r="K181" s="72">
        <v>0</v>
      </c>
      <c r="L181" s="72">
        <v>0</v>
      </c>
      <c r="M181" s="72">
        <v>1</v>
      </c>
      <c r="N181" s="72">
        <v>0</v>
      </c>
      <c r="O181" s="72">
        <v>0</v>
      </c>
      <c r="P181" s="72">
        <v>0</v>
      </c>
      <c r="R181" s="75">
        <v>0</v>
      </c>
    </row>
  </sheetData>
  <mergeCells count="1">
    <mergeCell ref="S1:V5"/>
  </mergeCells>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36F9F-4A0E-414F-98A8-72DACBE06B84}">
  <dimension ref="A1:L216"/>
  <sheetViews>
    <sheetView workbookViewId="0">
      <selection activeCell="D2" sqref="D2:L2"/>
    </sheetView>
  </sheetViews>
  <sheetFormatPr defaultRowHeight="14.5" x14ac:dyDescent="0.35"/>
  <cols>
    <col min="1" max="1" width="17.36328125" style="8" bestFit="1" customWidth="1"/>
    <col min="2" max="2" width="29.26953125" style="8" bestFit="1" customWidth="1"/>
    <col min="3" max="3" width="16.08984375" style="8" bestFit="1" customWidth="1"/>
    <col min="4" max="4" width="14.6328125" style="8" bestFit="1" customWidth="1"/>
    <col min="5" max="5" width="11.90625" style="8" bestFit="1" customWidth="1"/>
    <col min="6" max="7" width="14.6328125" style="8" bestFit="1" customWidth="1"/>
    <col min="8" max="9" width="13.6328125" style="8" bestFit="1" customWidth="1"/>
    <col min="10" max="16384" width="8.7265625" style="8"/>
  </cols>
  <sheetData>
    <row r="1" spans="1:12" ht="15" thickBot="1" x14ac:dyDescent="0.4">
      <c r="A1" s="8" t="s">
        <v>185</v>
      </c>
    </row>
    <row r="2" spans="1:12" ht="15" thickBot="1" x14ac:dyDescent="0.4">
      <c r="D2" s="137" t="s">
        <v>248</v>
      </c>
      <c r="E2" s="138"/>
      <c r="F2" s="138"/>
      <c r="G2" s="138"/>
      <c r="H2" s="138"/>
      <c r="I2" s="138"/>
      <c r="J2" s="138"/>
      <c r="K2" s="138"/>
      <c r="L2" s="139"/>
    </row>
    <row r="3" spans="1:12" x14ac:dyDescent="0.35">
      <c r="A3" s="9" t="s">
        <v>186</v>
      </c>
      <c r="B3" s="9"/>
    </row>
    <row r="4" spans="1:12" x14ac:dyDescent="0.35">
      <c r="A4" s="10" t="s">
        <v>187</v>
      </c>
      <c r="B4" s="10">
        <v>0.9843580131299895</v>
      </c>
    </row>
    <row r="5" spans="1:12" x14ac:dyDescent="0.35">
      <c r="A5" s="10" t="s">
        <v>188</v>
      </c>
      <c r="B5" s="14">
        <v>0.9689606980132206</v>
      </c>
    </row>
    <row r="6" spans="1:12" ht="18.5" x14ac:dyDescent="0.45">
      <c r="A6" s="10" t="s">
        <v>189</v>
      </c>
      <c r="B6" s="31">
        <v>0.96652990930341254</v>
      </c>
    </row>
    <row r="7" spans="1:12" x14ac:dyDescent="0.35">
      <c r="A7" s="10" t="s">
        <v>190</v>
      </c>
      <c r="B7" s="24">
        <v>557.68197537632875</v>
      </c>
    </row>
    <row r="8" spans="1:12" ht="15" thickBot="1" x14ac:dyDescent="0.4">
      <c r="A8" s="11" t="s">
        <v>191</v>
      </c>
      <c r="B8" s="26">
        <v>180</v>
      </c>
    </row>
    <row r="10" spans="1:12" ht="15" thickBot="1" x14ac:dyDescent="0.4">
      <c r="A10" s="8" t="s">
        <v>192</v>
      </c>
    </row>
    <row r="11" spans="1:12" x14ac:dyDescent="0.35">
      <c r="A11" s="12"/>
      <c r="B11" s="12" t="s">
        <v>197</v>
      </c>
      <c r="C11" s="12" t="s">
        <v>198</v>
      </c>
      <c r="D11" s="12" t="s">
        <v>199</v>
      </c>
      <c r="E11" s="12" t="s">
        <v>200</v>
      </c>
      <c r="F11" s="12" t="s">
        <v>201</v>
      </c>
    </row>
    <row r="12" spans="1:12" x14ac:dyDescent="0.35">
      <c r="A12" s="10" t="s">
        <v>193</v>
      </c>
      <c r="B12" s="10">
        <v>13</v>
      </c>
      <c r="C12" s="10">
        <v>1611667765.824944</v>
      </c>
      <c r="D12" s="10">
        <v>123974443.5249957</v>
      </c>
      <c r="E12" s="10">
        <v>398.61987761566729</v>
      </c>
      <c r="F12" s="10">
        <v>8.736773974209301E-118</v>
      </c>
    </row>
    <row r="13" spans="1:12" x14ac:dyDescent="0.35">
      <c r="A13" s="10" t="s">
        <v>194</v>
      </c>
      <c r="B13" s="24">
        <v>166</v>
      </c>
      <c r="C13" s="10">
        <v>51627524.819500931</v>
      </c>
      <c r="D13" s="10">
        <v>311009.18565964414</v>
      </c>
      <c r="E13" s="10"/>
      <c r="F13" s="10"/>
    </row>
    <row r="14" spans="1:12" ht="15" thickBot="1" x14ac:dyDescent="0.4">
      <c r="A14" s="11" t="s">
        <v>195</v>
      </c>
      <c r="B14" s="11">
        <v>179</v>
      </c>
      <c r="C14" s="11">
        <v>1663295290.6444449</v>
      </c>
      <c r="D14" s="11"/>
      <c r="E14" s="11"/>
      <c r="F14" s="11"/>
    </row>
    <row r="15" spans="1:12" ht="15" thickBot="1" x14ac:dyDescent="0.4"/>
    <row r="16" spans="1:12" x14ac:dyDescent="0.35">
      <c r="A16" s="12"/>
      <c r="B16" s="12" t="s">
        <v>202</v>
      </c>
      <c r="C16" s="12" t="s">
        <v>190</v>
      </c>
      <c r="D16" s="12" t="s">
        <v>203</v>
      </c>
      <c r="E16" s="12" t="s">
        <v>204</v>
      </c>
      <c r="F16" s="12" t="s">
        <v>205</v>
      </c>
      <c r="G16" s="12" t="s">
        <v>206</v>
      </c>
    </row>
    <row r="17" spans="1:7" x14ac:dyDescent="0.35">
      <c r="A17" s="10" t="s">
        <v>196</v>
      </c>
      <c r="B17" s="24">
        <v>48460960.396000668</v>
      </c>
      <c r="C17" s="24">
        <v>9860253.0276358631</v>
      </c>
      <c r="D17" s="10">
        <v>4.9147785822713193</v>
      </c>
      <c r="E17" s="15">
        <v>2.1185972691660367E-6</v>
      </c>
      <c r="F17" s="24">
        <v>28993293.279255163</v>
      </c>
      <c r="G17" s="24">
        <v>67928627.51274617</v>
      </c>
    </row>
    <row r="18" spans="1:7" x14ac:dyDescent="0.35">
      <c r="A18" s="10" t="s">
        <v>175</v>
      </c>
      <c r="B18" s="24">
        <v>-48804.751428382457</v>
      </c>
      <c r="C18" s="24">
        <v>9798.2298425534809</v>
      </c>
      <c r="D18" s="10">
        <v>-4.9809763817158661</v>
      </c>
      <c r="E18" s="15">
        <v>1.5754884098569288E-6</v>
      </c>
      <c r="F18" s="24">
        <v>-68149.962588133756</v>
      </c>
      <c r="G18" s="24">
        <v>-29459.540268631154</v>
      </c>
    </row>
    <row r="19" spans="1:7" x14ac:dyDescent="0.35">
      <c r="A19" s="10" t="s">
        <v>231</v>
      </c>
      <c r="B19" s="24">
        <v>12.291048567359491</v>
      </c>
      <c r="C19" s="24">
        <v>2.4341400594075027</v>
      </c>
      <c r="D19" s="10">
        <v>5.0494418017799978</v>
      </c>
      <c r="E19" s="15">
        <v>1.156540271580673E-6</v>
      </c>
      <c r="F19" s="24">
        <v>7.4851852432372592</v>
      </c>
      <c r="G19" s="24">
        <v>17.096911891481724</v>
      </c>
    </row>
    <row r="20" spans="1:7" x14ac:dyDescent="0.35">
      <c r="A20" s="10" t="s">
        <v>222</v>
      </c>
      <c r="B20" s="24">
        <v>-2291.3857219061233</v>
      </c>
      <c r="C20" s="24">
        <v>203.86542624108509</v>
      </c>
      <c r="D20" s="10">
        <v>-11.239697501215336</v>
      </c>
      <c r="E20" s="15">
        <v>3.7278851926456863E-22</v>
      </c>
      <c r="F20" s="24">
        <v>-2693.889008946664</v>
      </c>
      <c r="G20" s="24">
        <v>-1888.8824348655826</v>
      </c>
    </row>
    <row r="21" spans="1:7" x14ac:dyDescent="0.35">
      <c r="A21" s="10" t="s">
        <v>223</v>
      </c>
      <c r="B21" s="24">
        <v>-3342.7190552394477</v>
      </c>
      <c r="C21" s="24">
        <v>203.86542624108466</v>
      </c>
      <c r="D21" s="10">
        <v>-16.396694215754152</v>
      </c>
      <c r="E21" s="15">
        <v>1.5161009603644999E-36</v>
      </c>
      <c r="F21" s="24">
        <v>-3745.2223422799875</v>
      </c>
      <c r="G21" s="24">
        <v>-2940.2157681989079</v>
      </c>
    </row>
    <row r="22" spans="1:7" x14ac:dyDescent="0.35">
      <c r="A22" s="10" t="s">
        <v>224</v>
      </c>
      <c r="B22" s="24">
        <v>-1649.9190552394537</v>
      </c>
      <c r="C22" s="24">
        <v>203.86542624108492</v>
      </c>
      <c r="D22" s="10">
        <v>-8.0931773751980423</v>
      </c>
      <c r="E22" s="15">
        <v>1.1759189128152444E-13</v>
      </c>
      <c r="F22" s="24">
        <v>-2052.4223422799942</v>
      </c>
      <c r="G22" s="24">
        <v>-1247.4157681989132</v>
      </c>
    </row>
    <row r="23" spans="1:7" x14ac:dyDescent="0.35">
      <c r="A23" s="10" t="s">
        <v>225</v>
      </c>
      <c r="B23" s="24">
        <v>-2461.7857219061198</v>
      </c>
      <c r="C23" s="24">
        <v>203.86542624108489</v>
      </c>
      <c r="D23" s="10">
        <v>-12.075543005486809</v>
      </c>
      <c r="E23" s="15">
        <v>1.6922673426607825E-24</v>
      </c>
      <c r="F23" s="24">
        <v>-2864.28900894666</v>
      </c>
      <c r="G23" s="24">
        <v>-2059.2824348655795</v>
      </c>
    </row>
    <row r="24" spans="1:7" x14ac:dyDescent="0.35">
      <c r="A24" s="10" t="s">
        <v>226</v>
      </c>
      <c r="B24" s="24">
        <v>-1849.8523885727877</v>
      </c>
      <c r="C24" s="24">
        <v>203.865426241085</v>
      </c>
      <c r="D24" s="10">
        <v>-9.0738896863522562</v>
      </c>
      <c r="E24" s="15">
        <v>3.2110418378278799E-16</v>
      </c>
      <c r="F24" s="24">
        <v>-2252.3556756133285</v>
      </c>
      <c r="G24" s="24">
        <v>-1447.3491015322472</v>
      </c>
    </row>
    <row r="25" spans="1:7" x14ac:dyDescent="0.35">
      <c r="A25" s="10" t="s">
        <v>227</v>
      </c>
      <c r="B25" s="24">
        <v>-2484.4523885727813</v>
      </c>
      <c r="C25" s="24">
        <v>203.86542624108455</v>
      </c>
      <c r="D25" s="10">
        <v>-12.186727462236533</v>
      </c>
      <c r="E25" s="15">
        <v>8.2396577931545332E-25</v>
      </c>
      <c r="F25" s="24">
        <v>-2886.9556756133211</v>
      </c>
      <c r="G25" s="24">
        <v>-2081.9491015322415</v>
      </c>
    </row>
    <row r="26" spans="1:7" x14ac:dyDescent="0.35">
      <c r="A26" s="10" t="s">
        <v>228</v>
      </c>
      <c r="B26" s="24">
        <v>-2387.1857219061203</v>
      </c>
      <c r="C26" s="24">
        <v>203.86542624108489</v>
      </c>
      <c r="D26" s="10">
        <v>-11.709615337536974</v>
      </c>
      <c r="E26" s="15">
        <v>1.802856176089736E-23</v>
      </c>
      <c r="F26" s="24">
        <v>-2789.6890089466606</v>
      </c>
      <c r="G26" s="24">
        <v>-1984.68243486558</v>
      </c>
    </row>
    <row r="27" spans="1:7" x14ac:dyDescent="0.35">
      <c r="A27" s="10" t="s">
        <v>217</v>
      </c>
      <c r="B27" s="24">
        <v>-2064.1857219061189</v>
      </c>
      <c r="C27" s="24">
        <v>203.86542624108489</v>
      </c>
      <c r="D27" s="10">
        <v>-10.12523682885335</v>
      </c>
      <c r="E27" s="15">
        <v>4.5717093597258348E-19</v>
      </c>
      <c r="F27" s="24">
        <v>-2466.6890089466592</v>
      </c>
      <c r="G27" s="24">
        <v>-1661.6824348655787</v>
      </c>
    </row>
    <row r="28" spans="1:7" x14ac:dyDescent="0.35">
      <c r="A28" s="10" t="s">
        <v>218</v>
      </c>
      <c r="B28" s="24">
        <v>-2687.1999999999766</v>
      </c>
      <c r="C28" s="24">
        <v>203.63666521843726</v>
      </c>
      <c r="D28" s="10">
        <v>-13.196051885437562</v>
      </c>
      <c r="E28" s="15">
        <v>1.1912738493314486E-27</v>
      </c>
      <c r="F28" s="24">
        <v>-3089.2516309394305</v>
      </c>
      <c r="G28" s="24">
        <v>-2285.1483690605228</v>
      </c>
    </row>
    <row r="29" spans="1:7" x14ac:dyDescent="0.35">
      <c r="A29" s="10" t="s">
        <v>219</v>
      </c>
      <c r="B29" s="24">
        <v>-1626.5333333334638</v>
      </c>
      <c r="C29" s="24">
        <v>203.63666521843723</v>
      </c>
      <c r="D29" s="10">
        <v>-7.9874286469419049</v>
      </c>
      <c r="E29" s="15">
        <v>2.1881942979971752E-13</v>
      </c>
      <c r="F29" s="24">
        <v>-2028.5849642729174</v>
      </c>
      <c r="G29" s="24">
        <v>-1224.4817023940102</v>
      </c>
    </row>
    <row r="30" spans="1:7" ht="15" thickBot="1" x14ac:dyDescent="0.4">
      <c r="A30" s="11" t="s">
        <v>220</v>
      </c>
      <c r="B30" s="25">
        <v>-2346.2666666666673</v>
      </c>
      <c r="C30" s="25">
        <v>203.63666521843732</v>
      </c>
      <c r="D30" s="11">
        <v>-11.521828174459007</v>
      </c>
      <c r="E30" s="39">
        <v>6.0576054318361139E-23</v>
      </c>
      <c r="F30" s="25">
        <v>-2748.3182976061212</v>
      </c>
      <c r="G30" s="25">
        <v>-1944.2150357272135</v>
      </c>
    </row>
    <row r="34" spans="1:6" ht="18.5" x14ac:dyDescent="0.45">
      <c r="A34" s="8" t="s">
        <v>207</v>
      </c>
      <c r="E34" s="41" t="s">
        <v>234</v>
      </c>
      <c r="F34" s="42">
        <f>AVERAGE(D37:D216)</f>
        <v>286819.58232905756</v>
      </c>
    </row>
    <row r="35" spans="1:6" ht="19" thickBot="1" x14ac:dyDescent="0.5">
      <c r="C35" s="8" t="s">
        <v>232</v>
      </c>
      <c r="E35" s="41" t="s">
        <v>235</v>
      </c>
      <c r="F35" s="42">
        <f>SQRT(F34)</f>
        <v>535.55539613475798</v>
      </c>
    </row>
    <row r="36" spans="1:6" x14ac:dyDescent="0.35">
      <c r="A36" s="12" t="s">
        <v>208</v>
      </c>
      <c r="B36" s="12" t="s">
        <v>209</v>
      </c>
      <c r="C36" s="12" t="s">
        <v>210</v>
      </c>
      <c r="D36" s="12" t="s">
        <v>233</v>
      </c>
    </row>
    <row r="37" spans="1:6" x14ac:dyDescent="0.35">
      <c r="A37" s="10">
        <v>1</v>
      </c>
      <c r="B37" s="24">
        <v>15069.099093171977</v>
      </c>
      <c r="C37" s="24">
        <v>-454.09909317197707</v>
      </c>
      <c r="D37" s="37">
        <f>C37*C37</f>
        <v>206205.9864196119</v>
      </c>
    </row>
    <row r="38" spans="1:6" x14ac:dyDescent="0.35">
      <c r="A38" s="10">
        <v>2</v>
      </c>
      <c r="B38" s="24">
        <v>16129.76575983849</v>
      </c>
      <c r="C38" s="24">
        <v>-1283.7657598384903</v>
      </c>
      <c r="D38" s="37">
        <f t="shared" ref="D38:D101" si="0">C38*C38</f>
        <v>1648054.5261336965</v>
      </c>
    </row>
    <row r="39" spans="1:6" x14ac:dyDescent="0.35">
      <c r="A39" s="10">
        <v>3</v>
      </c>
      <c r="B39" s="24">
        <v>15410.032426505288</v>
      </c>
      <c r="C39" s="24">
        <v>-525.03242650528773</v>
      </c>
      <c r="D39" s="37">
        <f t="shared" si="0"/>
        <v>275659.04888203036</v>
      </c>
    </row>
    <row r="40" spans="1:6" x14ac:dyDescent="0.35">
      <c r="A40" s="10">
        <v>4</v>
      </c>
      <c r="B40" s="24">
        <v>17756.299093171954</v>
      </c>
      <c r="C40" s="24">
        <v>-653.29909317195415</v>
      </c>
      <c r="D40" s="37">
        <f t="shared" si="0"/>
        <v>426799.70513929764</v>
      </c>
    </row>
    <row r="41" spans="1:6" x14ac:dyDescent="0.35">
      <c r="A41" s="10">
        <v>5</v>
      </c>
      <c r="B41" s="24">
        <v>15959.557746567729</v>
      </c>
      <c r="C41" s="24">
        <v>-702.55774656772883</v>
      </c>
      <c r="D41" s="37">
        <f t="shared" si="0"/>
        <v>493587.38726232509</v>
      </c>
    </row>
    <row r="42" spans="1:6" x14ac:dyDescent="0.35">
      <c r="A42" s="10">
        <v>6</v>
      </c>
      <c r="B42" s="24">
        <v>14908.224413234404</v>
      </c>
      <c r="C42" s="24">
        <v>-227.22441323440398</v>
      </c>
      <c r="D42" s="37">
        <f t="shared" si="0"/>
        <v>51630.933969719183</v>
      </c>
    </row>
    <row r="43" spans="1:6" x14ac:dyDescent="0.35">
      <c r="A43" s="10">
        <v>7</v>
      </c>
      <c r="B43" s="24">
        <v>16601.024413234398</v>
      </c>
      <c r="C43" s="24">
        <v>-427.0244132343978</v>
      </c>
      <c r="D43" s="37">
        <f t="shared" si="0"/>
        <v>182349.84949818172</v>
      </c>
    </row>
    <row r="44" spans="1:6" x14ac:dyDescent="0.35">
      <c r="A44" s="10">
        <v>8</v>
      </c>
      <c r="B44" s="24">
        <v>15789.157746567733</v>
      </c>
      <c r="C44" s="24">
        <v>-564.15774656773283</v>
      </c>
      <c r="D44" s="37">
        <f t="shared" si="0"/>
        <v>318273.96301238227</v>
      </c>
    </row>
    <row r="45" spans="1:6" x14ac:dyDescent="0.35">
      <c r="A45" s="10">
        <v>9</v>
      </c>
      <c r="B45" s="24">
        <v>16401.091079901063</v>
      </c>
      <c r="C45" s="24">
        <v>-130.09107990106349</v>
      </c>
      <c r="D45" s="37">
        <f t="shared" si="0"/>
        <v>16923.689069824886</v>
      </c>
    </row>
    <row r="46" spans="1:6" x14ac:dyDescent="0.35">
      <c r="A46" s="10">
        <v>10</v>
      </c>
      <c r="B46" s="24">
        <v>15766.49107990107</v>
      </c>
      <c r="C46" s="24">
        <v>-46.491079901070407</v>
      </c>
      <c r="D46" s="37">
        <f t="shared" si="0"/>
        <v>2161.4205103677127</v>
      </c>
    </row>
    <row r="47" spans="1:6" x14ac:dyDescent="0.35">
      <c r="A47" s="10">
        <v>11</v>
      </c>
      <c r="B47" s="24">
        <v>15863.757746567731</v>
      </c>
      <c r="C47" s="24">
        <v>-437.75774656773137</v>
      </c>
      <c r="D47" s="37">
        <f t="shared" si="0"/>
        <v>191631.84468005813</v>
      </c>
    </row>
    <row r="48" spans="1:6" x14ac:dyDescent="0.35">
      <c r="A48" s="10">
        <v>12</v>
      </c>
      <c r="B48" s="24">
        <v>16186.757746567733</v>
      </c>
      <c r="C48" s="24">
        <v>-94.757746567733193</v>
      </c>
      <c r="D48" s="37">
        <f t="shared" si="0"/>
        <v>8979.0305345947509</v>
      </c>
    </row>
    <row r="49" spans="1:4" x14ac:dyDescent="0.35">
      <c r="A49" s="10">
        <v>13</v>
      </c>
      <c r="B49" s="24">
        <v>15563.743468473875</v>
      </c>
      <c r="C49" s="24">
        <v>-80.7434684738746</v>
      </c>
      <c r="D49" s="37">
        <f t="shared" si="0"/>
        <v>6519.5077011915819</v>
      </c>
    </row>
    <row r="50" spans="1:4" x14ac:dyDescent="0.35">
      <c r="A50" s="10">
        <v>14</v>
      </c>
      <c r="B50" s="24">
        <v>16624.410135140388</v>
      </c>
      <c r="C50" s="24">
        <v>-242.41013514038787</v>
      </c>
      <c r="D50" s="37">
        <f t="shared" si="0"/>
        <v>58762.673618781111</v>
      </c>
    </row>
    <row r="51" spans="1:4" x14ac:dyDescent="0.35">
      <c r="A51" s="10">
        <v>15</v>
      </c>
      <c r="B51" s="24">
        <v>15904.676801807185</v>
      </c>
      <c r="C51" s="24">
        <v>347.32319819281474</v>
      </c>
      <c r="D51" s="37">
        <f t="shared" si="0"/>
        <v>120633.40400288528</v>
      </c>
    </row>
    <row r="52" spans="1:4" x14ac:dyDescent="0.35">
      <c r="A52" s="10">
        <v>16</v>
      </c>
      <c r="B52" s="24">
        <v>18250.943468473852</v>
      </c>
      <c r="C52" s="24">
        <v>-195.94346847385168</v>
      </c>
      <c r="D52" s="37">
        <f t="shared" si="0"/>
        <v>38393.842837563308</v>
      </c>
    </row>
    <row r="53" spans="1:4" x14ac:dyDescent="0.35">
      <c r="A53" s="10">
        <v>17</v>
      </c>
      <c r="B53" s="24">
        <v>16478.784218997658</v>
      </c>
      <c r="C53" s="24">
        <v>506.21578100234183</v>
      </c>
      <c r="D53" s="37">
        <f t="shared" si="0"/>
        <v>256254.41693581091</v>
      </c>
    </row>
    <row r="54" spans="1:4" x14ac:dyDescent="0.35">
      <c r="A54" s="10">
        <v>18</v>
      </c>
      <c r="B54" s="24">
        <v>15427.450885664335</v>
      </c>
      <c r="C54" s="24">
        <v>394.54911433566485</v>
      </c>
      <c r="D54" s="37">
        <f t="shared" si="0"/>
        <v>155669.00362305754</v>
      </c>
    </row>
    <row r="55" spans="1:4" x14ac:dyDescent="0.35">
      <c r="A55" s="10">
        <v>19</v>
      </c>
      <c r="B55" s="24">
        <v>17120.250885664329</v>
      </c>
      <c r="C55" s="24">
        <v>137.74911433567104</v>
      </c>
      <c r="D55" s="37">
        <f t="shared" si="0"/>
        <v>18974.818500261772</v>
      </c>
    </row>
    <row r="56" spans="1:4" x14ac:dyDescent="0.35">
      <c r="A56" s="10">
        <v>20</v>
      </c>
      <c r="B56" s="24">
        <v>16308.384218997664</v>
      </c>
      <c r="C56" s="24">
        <v>223.61578100233601</v>
      </c>
      <c r="D56" s="37">
        <f t="shared" si="0"/>
        <v>50004.0175132847</v>
      </c>
    </row>
    <row r="57" spans="1:4" x14ac:dyDescent="0.35">
      <c r="A57" s="10">
        <v>21</v>
      </c>
      <c r="B57" s="24">
        <v>16920.317552330995</v>
      </c>
      <c r="C57" s="24">
        <v>358.68244766900534</v>
      </c>
      <c r="D57" s="37">
        <f t="shared" si="0"/>
        <v>128653.09826582875</v>
      </c>
    </row>
    <row r="58" spans="1:4" x14ac:dyDescent="0.35">
      <c r="A58" s="10">
        <v>22</v>
      </c>
      <c r="B58" s="24">
        <v>16285.717552331002</v>
      </c>
      <c r="C58" s="24">
        <v>211.28244766899843</v>
      </c>
      <c r="D58" s="37">
        <f t="shared" si="0"/>
        <v>44640.272693003062</v>
      </c>
    </row>
    <row r="59" spans="1:4" x14ac:dyDescent="0.35">
      <c r="A59" s="10">
        <v>23</v>
      </c>
      <c r="B59" s="24">
        <v>16382.984218997663</v>
      </c>
      <c r="C59" s="24">
        <v>159.01578100233746</v>
      </c>
      <c r="D59" s="37">
        <f t="shared" si="0"/>
        <v>25286.01860778335</v>
      </c>
    </row>
    <row r="60" spans="1:4" x14ac:dyDescent="0.35">
      <c r="A60" s="10">
        <v>24</v>
      </c>
      <c r="B60" s="24">
        <v>16705.984218997663</v>
      </c>
      <c r="C60" s="24">
        <v>286.01578100233746</v>
      </c>
      <c r="D60" s="37">
        <f t="shared" si="0"/>
        <v>81805.026982377065</v>
      </c>
    </row>
    <row r="61" spans="1:4" x14ac:dyDescent="0.35">
      <c r="A61" s="10">
        <v>25</v>
      </c>
      <c r="B61" s="24">
        <v>16082.969940903806</v>
      </c>
      <c r="C61" s="24">
        <v>-116.96994090380576</v>
      </c>
      <c r="D61" s="37">
        <f t="shared" si="0"/>
        <v>13681.967075039813</v>
      </c>
    </row>
    <row r="62" spans="1:4" x14ac:dyDescent="0.35">
      <c r="A62" s="10">
        <v>26</v>
      </c>
      <c r="B62" s="24">
        <v>17143.636607570319</v>
      </c>
      <c r="C62" s="24">
        <v>120.36339242968097</v>
      </c>
      <c r="D62" s="37">
        <f t="shared" si="0"/>
        <v>14487.346237181382</v>
      </c>
    </row>
    <row r="63" spans="1:4" x14ac:dyDescent="0.35">
      <c r="A63" s="10">
        <v>27</v>
      </c>
      <c r="B63" s="24">
        <v>16423.903274237116</v>
      </c>
      <c r="C63" s="24">
        <v>289.09672576288358</v>
      </c>
      <c r="D63" s="37">
        <f t="shared" si="0"/>
        <v>83576.91684681992</v>
      </c>
    </row>
    <row r="64" spans="1:4" x14ac:dyDescent="0.35">
      <c r="A64" s="10">
        <v>28</v>
      </c>
      <c r="B64" s="24">
        <v>18770.169940903783</v>
      </c>
      <c r="C64" s="24">
        <v>-336.16994090378284</v>
      </c>
      <c r="D64" s="37">
        <f t="shared" si="0"/>
        <v>113010.22916725285</v>
      </c>
    </row>
    <row r="65" spans="1:4" x14ac:dyDescent="0.35">
      <c r="A65" s="10">
        <v>29</v>
      </c>
      <c r="B65" s="24">
        <v>17022.592788570524</v>
      </c>
      <c r="C65" s="24">
        <v>426.40721142947586</v>
      </c>
      <c r="D65" s="37">
        <f t="shared" si="0"/>
        <v>181823.10995906172</v>
      </c>
    </row>
    <row r="66" spans="1:4" x14ac:dyDescent="0.35">
      <c r="A66" s="10">
        <v>30</v>
      </c>
      <c r="B66" s="24">
        <v>15971.259455237201</v>
      </c>
      <c r="C66" s="24">
        <v>1229.7405447627989</v>
      </c>
      <c r="D66" s="37">
        <f t="shared" si="0"/>
        <v>1512261.8074335053</v>
      </c>
    </row>
    <row r="67" spans="1:4" x14ac:dyDescent="0.35">
      <c r="A67" s="10">
        <v>31</v>
      </c>
      <c r="B67" s="24">
        <v>17664.059455237195</v>
      </c>
      <c r="C67" s="24">
        <v>54.940544762805075</v>
      </c>
      <c r="D67" s="37">
        <f t="shared" si="0"/>
        <v>3018.4634588337881</v>
      </c>
    </row>
    <row r="68" spans="1:4" x14ac:dyDescent="0.35">
      <c r="A68" s="10">
        <v>32</v>
      </c>
      <c r="B68" s="24">
        <v>16852.19278857053</v>
      </c>
      <c r="C68" s="24">
        <v>290.80721142947004</v>
      </c>
      <c r="D68" s="37">
        <f t="shared" si="0"/>
        <v>84568.834219384487</v>
      </c>
    </row>
    <row r="69" spans="1:4" x14ac:dyDescent="0.35">
      <c r="A69" s="10">
        <v>33</v>
      </c>
      <c r="B69" s="24">
        <v>17464.126121903861</v>
      </c>
      <c r="C69" s="24">
        <v>406.87387809613938</v>
      </c>
      <c r="D69" s="37">
        <f t="shared" si="0"/>
        <v>165546.3526769921</v>
      </c>
    </row>
    <row r="70" spans="1:4" x14ac:dyDescent="0.35">
      <c r="A70" s="10">
        <v>34</v>
      </c>
      <c r="B70" s="24">
        <v>16829.526121903866</v>
      </c>
      <c r="C70" s="24">
        <v>208.47387809613429</v>
      </c>
      <c r="D70" s="37">
        <f t="shared" si="0"/>
        <v>43461.357848441861</v>
      </c>
    </row>
    <row r="71" spans="1:4" x14ac:dyDescent="0.35">
      <c r="A71" s="10">
        <v>35</v>
      </c>
      <c r="B71" s="24">
        <v>16926.792788570529</v>
      </c>
      <c r="C71" s="24">
        <v>486.2072114294715</v>
      </c>
      <c r="D71" s="37">
        <f t="shared" si="0"/>
        <v>236397.4524460228</v>
      </c>
    </row>
    <row r="72" spans="1:4" x14ac:dyDescent="0.35">
      <c r="A72" s="10">
        <v>36</v>
      </c>
      <c r="B72" s="24">
        <v>17249.792788570529</v>
      </c>
      <c r="C72" s="24">
        <v>-49.792788570528501</v>
      </c>
      <c r="D72" s="37">
        <f t="shared" si="0"/>
        <v>2479.3217936293536</v>
      </c>
    </row>
    <row r="73" spans="1:4" x14ac:dyDescent="0.35">
      <c r="A73" s="10">
        <v>37</v>
      </c>
      <c r="B73" s="24">
        <v>16626.778510476674</v>
      </c>
      <c r="C73" s="24">
        <v>549.22148952332645</v>
      </c>
      <c r="D73" s="37">
        <f t="shared" si="0"/>
        <v>301644.2445542214</v>
      </c>
    </row>
    <row r="74" spans="1:4" x14ac:dyDescent="0.35">
      <c r="A74" s="10">
        <v>38</v>
      </c>
      <c r="B74" s="24">
        <v>17687.445177143185</v>
      </c>
      <c r="C74" s="24">
        <v>331.55482285681501</v>
      </c>
      <c r="D74" s="37">
        <f t="shared" si="0"/>
        <v>109928.60055961397</v>
      </c>
    </row>
    <row r="75" spans="1:4" x14ac:dyDescent="0.35">
      <c r="A75" s="10">
        <v>39</v>
      </c>
      <c r="B75" s="24">
        <v>16967.711843809982</v>
      </c>
      <c r="C75" s="24">
        <v>7.2881561900176166</v>
      </c>
      <c r="D75" s="37">
        <f t="shared" si="0"/>
        <v>53.117220650092101</v>
      </c>
    </row>
    <row r="76" spans="1:4" x14ac:dyDescent="0.35">
      <c r="A76" s="10">
        <v>40</v>
      </c>
      <c r="B76" s="24">
        <v>19313.978510476649</v>
      </c>
      <c r="C76" s="24">
        <v>339.02148952335119</v>
      </c>
      <c r="D76" s="37">
        <f t="shared" si="0"/>
        <v>114935.57035863172</v>
      </c>
    </row>
    <row r="77" spans="1:4" x14ac:dyDescent="0.35">
      <c r="A77" s="10">
        <v>41</v>
      </c>
      <c r="B77" s="24">
        <v>17590.983455271424</v>
      </c>
      <c r="C77" s="24">
        <v>150.01654472857626</v>
      </c>
      <c r="D77" s="37">
        <f t="shared" si="0"/>
        <v>22504.963692300924</v>
      </c>
    </row>
    <row r="78" spans="1:4" x14ac:dyDescent="0.35">
      <c r="A78" s="10">
        <v>42</v>
      </c>
      <c r="B78" s="24">
        <v>16539.650121938103</v>
      </c>
      <c r="C78" s="24">
        <v>488.34987806189747</v>
      </c>
      <c r="D78" s="37">
        <f t="shared" si="0"/>
        <v>238485.60340307013</v>
      </c>
    </row>
    <row r="79" spans="1:4" x14ac:dyDescent="0.35">
      <c r="A79" s="10">
        <v>43</v>
      </c>
      <c r="B79" s="24">
        <v>18232.450121938095</v>
      </c>
      <c r="C79" s="24">
        <v>268.54987806190547</v>
      </c>
      <c r="D79" s="37">
        <f t="shared" si="0"/>
        <v>72119.037007064297</v>
      </c>
    </row>
    <row r="80" spans="1:4" x14ac:dyDescent="0.35">
      <c r="A80" s="10">
        <v>44</v>
      </c>
      <c r="B80" s="24">
        <v>17420.58345527143</v>
      </c>
      <c r="C80" s="24">
        <v>805.41654472857044</v>
      </c>
      <c r="D80" s="37">
        <f t="shared" si="0"/>
        <v>648695.81052250927</v>
      </c>
    </row>
    <row r="81" spans="1:4" x14ac:dyDescent="0.35">
      <c r="A81" s="10">
        <v>45</v>
      </c>
      <c r="B81" s="24">
        <v>18032.51678860476</v>
      </c>
      <c r="C81" s="24">
        <v>113.48321139523978</v>
      </c>
      <c r="D81" s="37">
        <f t="shared" si="0"/>
        <v>12878.43926857668</v>
      </c>
    </row>
    <row r="82" spans="1:4" x14ac:dyDescent="0.35">
      <c r="A82" s="10">
        <v>46</v>
      </c>
      <c r="B82" s="24">
        <v>17397.916788604765</v>
      </c>
      <c r="C82" s="24">
        <v>546.08321139523468</v>
      </c>
      <c r="D82" s="37">
        <f t="shared" si="0"/>
        <v>298206.87376773258</v>
      </c>
    </row>
    <row r="83" spans="1:4" x14ac:dyDescent="0.35">
      <c r="A83" s="10">
        <v>47</v>
      </c>
      <c r="B83" s="24">
        <v>17495.183455271428</v>
      </c>
      <c r="C83" s="24">
        <v>461.8165447285719</v>
      </c>
      <c r="D83" s="37">
        <f t="shared" si="0"/>
        <v>213274.52098503706</v>
      </c>
    </row>
    <row r="84" spans="1:4" x14ac:dyDescent="0.35">
      <c r="A84" s="10">
        <v>48</v>
      </c>
      <c r="B84" s="24">
        <v>17818.183455271428</v>
      </c>
      <c r="C84" s="24">
        <v>-214.1834552714281</v>
      </c>
      <c r="D84" s="37">
        <f t="shared" si="0"/>
        <v>45874.552512007846</v>
      </c>
    </row>
    <row r="85" spans="1:4" x14ac:dyDescent="0.35">
      <c r="A85" s="10">
        <v>49</v>
      </c>
      <c r="B85" s="24">
        <v>17195.169177177573</v>
      </c>
      <c r="C85" s="24">
        <v>574.83082282242685</v>
      </c>
      <c r="D85" s="37">
        <f t="shared" si="0"/>
        <v>330430.47486670827</v>
      </c>
    </row>
    <row r="86" spans="1:4" x14ac:dyDescent="0.35">
      <c r="A86" s="10">
        <v>50</v>
      </c>
      <c r="B86" s="24">
        <v>18255.835843844085</v>
      </c>
      <c r="C86" s="24">
        <v>236.16415615591541</v>
      </c>
      <c r="D86" s="37">
        <f t="shared" si="0"/>
        <v>55773.508652835597</v>
      </c>
    </row>
    <row r="87" spans="1:4" x14ac:dyDescent="0.35">
      <c r="A87" s="10">
        <v>51</v>
      </c>
      <c r="B87" s="24">
        <v>17536.102510510882</v>
      </c>
      <c r="C87" s="24">
        <v>247.89748948911802</v>
      </c>
      <c r="D87" s="37">
        <f t="shared" si="0"/>
        <v>61453.165295007377</v>
      </c>
    </row>
    <row r="88" spans="1:4" x14ac:dyDescent="0.35">
      <c r="A88" s="10">
        <v>52</v>
      </c>
      <c r="B88" s="24">
        <v>19882.369177177548</v>
      </c>
      <c r="C88" s="24">
        <v>184.63082282245159</v>
      </c>
      <c r="D88" s="37">
        <f t="shared" si="0"/>
        <v>34088.540736095514</v>
      </c>
    </row>
    <row r="89" spans="1:4" x14ac:dyDescent="0.35">
      <c r="A89" s="10">
        <v>53</v>
      </c>
      <c r="B89" s="24">
        <v>18183.956219107808</v>
      </c>
      <c r="C89" s="24">
        <v>-309.95621910780756</v>
      </c>
      <c r="D89" s="37">
        <f t="shared" si="0"/>
        <v>96072.8577636072</v>
      </c>
    </row>
    <row r="90" spans="1:4" x14ac:dyDescent="0.35">
      <c r="A90" s="10">
        <v>54</v>
      </c>
      <c r="B90" s="24">
        <v>17132.622885774486</v>
      </c>
      <c r="C90" s="24">
        <v>38.377114225513651</v>
      </c>
      <c r="D90" s="37">
        <f t="shared" si="0"/>
        <v>1472.8028962781223</v>
      </c>
    </row>
    <row r="91" spans="1:4" x14ac:dyDescent="0.35">
      <c r="A91" s="10">
        <v>55</v>
      </c>
      <c r="B91" s="24">
        <v>18825.422885774478</v>
      </c>
      <c r="C91" s="24">
        <v>388.57711422552165</v>
      </c>
      <c r="D91" s="37">
        <f t="shared" si="0"/>
        <v>150992.17369983409</v>
      </c>
    </row>
    <row r="92" spans="1:4" x14ac:dyDescent="0.35">
      <c r="A92" s="10">
        <v>56</v>
      </c>
      <c r="B92" s="24">
        <v>18013.556219107813</v>
      </c>
      <c r="C92" s="24">
        <v>326.44378089218662</v>
      </c>
      <c r="D92" s="37">
        <f t="shared" si="0"/>
        <v>106565.54208318595</v>
      </c>
    </row>
    <row r="93" spans="1:4" x14ac:dyDescent="0.35">
      <c r="A93" s="10">
        <v>57</v>
      </c>
      <c r="B93" s="24">
        <v>18625.489552441144</v>
      </c>
      <c r="C93" s="24">
        <v>-330.48955244114404</v>
      </c>
      <c r="D93" s="37">
        <f t="shared" si="0"/>
        <v>109223.34427274769</v>
      </c>
    </row>
    <row r="94" spans="1:4" x14ac:dyDescent="0.35">
      <c r="A94" s="10">
        <v>58</v>
      </c>
      <c r="B94" s="24">
        <v>17990.889552441149</v>
      </c>
      <c r="C94" s="24">
        <v>381.11044755885086</v>
      </c>
      <c r="D94" s="37">
        <f t="shared" si="0"/>
        <v>145245.17323850762</v>
      </c>
    </row>
    <row r="95" spans="1:4" x14ac:dyDescent="0.35">
      <c r="A95" s="10">
        <v>59</v>
      </c>
      <c r="B95" s="24">
        <v>18088.156219107812</v>
      </c>
      <c r="C95" s="24">
        <v>81.843780892188079</v>
      </c>
      <c r="D95" s="37">
        <f t="shared" si="0"/>
        <v>6698.4044707284902</v>
      </c>
    </row>
    <row r="96" spans="1:4" x14ac:dyDescent="0.35">
      <c r="A96" s="10">
        <v>60</v>
      </c>
      <c r="B96" s="24">
        <v>18411.156219107812</v>
      </c>
      <c r="C96" s="24">
        <v>-83.156219107811921</v>
      </c>
      <c r="D96" s="37">
        <f t="shared" si="0"/>
        <v>6914.9567763064242</v>
      </c>
    </row>
    <row r="97" spans="1:4" x14ac:dyDescent="0.35">
      <c r="A97" s="10">
        <v>61</v>
      </c>
      <c r="B97" s="24">
        <v>17788.141941013957</v>
      </c>
      <c r="C97" s="24">
        <v>335.85805898604303</v>
      </c>
      <c r="D97" s="37">
        <f t="shared" si="0"/>
        <v>112800.63578587236</v>
      </c>
    </row>
    <row r="98" spans="1:4" x14ac:dyDescent="0.35">
      <c r="A98" s="10">
        <v>62</v>
      </c>
      <c r="B98" s="24">
        <v>18848.808607680468</v>
      </c>
      <c r="C98" s="24">
        <v>-237.80860768046841</v>
      </c>
      <c r="D98" s="37">
        <f t="shared" si="0"/>
        <v>56552.93388692294</v>
      </c>
    </row>
    <row r="99" spans="1:4" x14ac:dyDescent="0.35">
      <c r="A99" s="10">
        <v>63</v>
      </c>
      <c r="B99" s="24">
        <v>18129.075274347266</v>
      </c>
      <c r="C99" s="24">
        <v>594.9247256527342</v>
      </c>
      <c r="D99" s="37">
        <f t="shared" si="0"/>
        <v>353935.42919298104</v>
      </c>
    </row>
    <row r="100" spans="1:4" x14ac:dyDescent="0.35">
      <c r="A100" s="10">
        <v>64</v>
      </c>
      <c r="B100" s="24">
        <v>20475.341941013932</v>
      </c>
      <c r="C100" s="24">
        <v>531.65805898606777</v>
      </c>
      <c r="D100" s="37">
        <f t="shared" si="0"/>
        <v>282660.29168483312</v>
      </c>
    </row>
    <row r="101" spans="1:4" x14ac:dyDescent="0.35">
      <c r="A101" s="10">
        <v>65</v>
      </c>
      <c r="B101" s="24">
        <v>18801.511080079676</v>
      </c>
      <c r="C101" s="24">
        <v>353.48891992032441</v>
      </c>
      <c r="D101" s="37">
        <f t="shared" si="0"/>
        <v>124954.41650643753</v>
      </c>
    </row>
    <row r="102" spans="1:4" x14ac:dyDescent="0.35">
      <c r="A102" s="10">
        <v>66</v>
      </c>
      <c r="B102" s="24">
        <v>17750.177746746354</v>
      </c>
      <c r="C102" s="24">
        <v>366.82225325364561</v>
      </c>
      <c r="D102" s="37">
        <f t="shared" ref="D102:D165" si="1">C102*C102</f>
        <v>134558.56548208173</v>
      </c>
    </row>
    <row r="103" spans="1:4" x14ac:dyDescent="0.35">
      <c r="A103" s="10">
        <v>67</v>
      </c>
      <c r="B103" s="24">
        <v>19442.977746746346</v>
      </c>
      <c r="C103" s="24">
        <v>599.02225325365362</v>
      </c>
      <c r="D103" s="37">
        <f t="shared" si="1"/>
        <v>358827.65989308432</v>
      </c>
    </row>
    <row r="104" spans="1:4" x14ac:dyDescent="0.35">
      <c r="A104" s="10">
        <v>68</v>
      </c>
      <c r="B104" s="24">
        <v>18631.111080079681</v>
      </c>
      <c r="C104" s="24">
        <v>312.88891992031859</v>
      </c>
      <c r="D104" s="37">
        <f t="shared" si="1"/>
        <v>97899.476208903536</v>
      </c>
    </row>
    <row r="105" spans="1:4" x14ac:dyDescent="0.35">
      <c r="A105" s="10">
        <v>69</v>
      </c>
      <c r="B105" s="24">
        <v>19243.044413413012</v>
      </c>
      <c r="C105" s="24">
        <v>261.95558658698792</v>
      </c>
      <c r="D105" s="37">
        <f t="shared" si="1"/>
        <v>68620.729344132924</v>
      </c>
    </row>
    <row r="106" spans="1:4" x14ac:dyDescent="0.35">
      <c r="A106" s="10">
        <v>70</v>
      </c>
      <c r="B106" s="24">
        <v>18608.444413413017</v>
      </c>
      <c r="C106" s="24">
        <v>472.55558658698283</v>
      </c>
      <c r="D106" s="37">
        <f t="shared" si="1"/>
        <v>223308.78241456742</v>
      </c>
    </row>
    <row r="107" spans="1:4" x14ac:dyDescent="0.35">
      <c r="A107" s="10">
        <v>71</v>
      </c>
      <c r="B107" s="24">
        <v>18705.71108007968</v>
      </c>
      <c r="C107" s="24">
        <v>-164.71108007967996</v>
      </c>
      <c r="D107" s="37">
        <f t="shared" si="1"/>
        <v>27129.739901014746</v>
      </c>
    </row>
    <row r="108" spans="1:4" x14ac:dyDescent="0.35">
      <c r="A108" s="10">
        <v>72</v>
      </c>
      <c r="B108" s="24">
        <v>19028.71108007968</v>
      </c>
      <c r="C108" s="24">
        <v>452.28891992032004</v>
      </c>
      <c r="D108" s="37">
        <f t="shared" si="1"/>
        <v>204565.26708268968</v>
      </c>
    </row>
    <row r="109" spans="1:4" x14ac:dyDescent="0.35">
      <c r="A109" s="10">
        <v>73</v>
      </c>
      <c r="B109" s="24">
        <v>18405.696801985825</v>
      </c>
      <c r="C109" s="24">
        <v>439.303198014175</v>
      </c>
      <c r="D109" s="37">
        <f t="shared" si="1"/>
        <v>192987.29978548145</v>
      </c>
    </row>
    <row r="110" spans="1:4" x14ac:dyDescent="0.35">
      <c r="A110" s="10">
        <v>74</v>
      </c>
      <c r="B110" s="24">
        <v>19466.363468652336</v>
      </c>
      <c r="C110" s="24">
        <v>-164.36346865233645</v>
      </c>
      <c r="D110" s="37">
        <f t="shared" si="1"/>
        <v>27015.349827427588</v>
      </c>
    </row>
    <row r="111" spans="1:4" x14ac:dyDescent="0.35">
      <c r="A111" s="10">
        <v>75</v>
      </c>
      <c r="B111" s="24">
        <v>18746.630135319134</v>
      </c>
      <c r="C111" s="24">
        <v>356.36986468086616</v>
      </c>
      <c r="D111" s="37">
        <f t="shared" si="1"/>
        <v>126999.48045265886</v>
      </c>
    </row>
    <row r="112" spans="1:4" x14ac:dyDescent="0.35">
      <c r="A112" s="10">
        <v>76</v>
      </c>
      <c r="B112" s="24">
        <v>21092.8968019858</v>
      </c>
      <c r="C112" s="24">
        <v>40.103198014199734</v>
      </c>
      <c r="D112" s="37">
        <f t="shared" si="1"/>
        <v>1608.2664909661135</v>
      </c>
    </row>
    <row r="113" spans="1:4" x14ac:dyDescent="0.35">
      <c r="A113" s="10">
        <v>77</v>
      </c>
      <c r="B113" s="24">
        <v>19443.648038172127</v>
      </c>
      <c r="C113" s="24">
        <v>-42.648038172126689</v>
      </c>
      <c r="D113" s="37">
        <f t="shared" si="1"/>
        <v>1818.8551599311752</v>
      </c>
    </row>
    <row r="114" spans="1:4" x14ac:dyDescent="0.35">
      <c r="A114" s="10">
        <v>78</v>
      </c>
      <c r="B114" s="24">
        <v>18392.314704838805</v>
      </c>
      <c r="C114" s="24">
        <v>663.68529516119452</v>
      </c>
      <c r="D114" s="37">
        <f t="shared" si="1"/>
        <v>440478.17101320188</v>
      </c>
    </row>
    <row r="115" spans="1:4" x14ac:dyDescent="0.35">
      <c r="A115" s="10">
        <v>79</v>
      </c>
      <c r="B115" s="24">
        <v>20085.114704838797</v>
      </c>
      <c r="C115" s="24">
        <v>-142.11470483879748</v>
      </c>
      <c r="D115" s="37">
        <f t="shared" si="1"/>
        <v>20196.589331418527</v>
      </c>
    </row>
    <row r="116" spans="1:4" x14ac:dyDescent="0.35">
      <c r="A116" s="10">
        <v>80</v>
      </c>
      <c r="B116" s="24">
        <v>19273.248038172133</v>
      </c>
      <c r="C116" s="24">
        <v>-223.24803817213251</v>
      </c>
      <c r="D116" s="37">
        <f t="shared" si="1"/>
        <v>49839.686547705933</v>
      </c>
    </row>
    <row r="117" spans="1:4" x14ac:dyDescent="0.35">
      <c r="A117" s="10">
        <v>81</v>
      </c>
      <c r="B117" s="24">
        <v>19885.181371505463</v>
      </c>
      <c r="C117" s="24">
        <v>-184.18137150546318</v>
      </c>
      <c r="D117" s="37">
        <f t="shared" si="1"/>
        <v>33922.777609633442</v>
      </c>
    </row>
    <row r="118" spans="1:4" x14ac:dyDescent="0.35">
      <c r="A118" s="10">
        <v>82</v>
      </c>
      <c r="B118" s="24">
        <v>19250.581371505468</v>
      </c>
      <c r="C118" s="24">
        <v>-824.58137150546827</v>
      </c>
      <c r="D118" s="37">
        <f t="shared" si="1"/>
        <v>679934.43823383912</v>
      </c>
    </row>
    <row r="119" spans="1:4" x14ac:dyDescent="0.35">
      <c r="A119" s="10">
        <v>83</v>
      </c>
      <c r="B119" s="24">
        <v>19347.848038172131</v>
      </c>
      <c r="C119" s="24">
        <v>-788.84803817213106</v>
      </c>
      <c r="D119" s="37">
        <f t="shared" si="1"/>
        <v>622281.22732801992</v>
      </c>
    </row>
    <row r="120" spans="1:4" x14ac:dyDescent="0.35">
      <c r="A120" s="10">
        <v>84</v>
      </c>
      <c r="B120" s="24">
        <v>19670.848038172131</v>
      </c>
      <c r="C120" s="24">
        <v>-502.84803817213106</v>
      </c>
      <c r="D120" s="37">
        <f t="shared" si="1"/>
        <v>252856.14949356098</v>
      </c>
    </row>
    <row r="121" spans="1:4" x14ac:dyDescent="0.35">
      <c r="A121" s="10">
        <v>85</v>
      </c>
      <c r="B121" s="24">
        <v>19047.833760078276</v>
      </c>
      <c r="C121" s="24">
        <v>-1200.8337600782761</v>
      </c>
      <c r="D121" s="37">
        <f t="shared" si="1"/>
        <v>1442001.7193437307</v>
      </c>
    </row>
    <row r="122" spans="1:4" x14ac:dyDescent="0.35">
      <c r="A122" s="10">
        <v>86</v>
      </c>
      <c r="B122" s="24">
        <v>20108.500426744788</v>
      </c>
      <c r="C122" s="24">
        <v>-640.50042674478755</v>
      </c>
      <c r="D122" s="37">
        <f t="shared" si="1"/>
        <v>410240.79666025494</v>
      </c>
    </row>
    <row r="123" spans="1:4" x14ac:dyDescent="0.35">
      <c r="A123" s="10">
        <v>87</v>
      </c>
      <c r="B123" s="24">
        <v>19388.767093411585</v>
      </c>
      <c r="C123" s="24">
        <v>-688.76709341158494</v>
      </c>
      <c r="D123" s="37">
        <f t="shared" si="1"/>
        <v>474400.10896664299</v>
      </c>
    </row>
    <row r="124" spans="1:4" x14ac:dyDescent="0.35">
      <c r="A124" s="10">
        <v>88</v>
      </c>
      <c r="B124" s="24">
        <v>21735.033760078251</v>
      </c>
      <c r="C124" s="24">
        <v>-1103.0337600782514</v>
      </c>
      <c r="D124" s="37">
        <f t="shared" si="1"/>
        <v>1216683.4758723653</v>
      </c>
    </row>
    <row r="125" spans="1:4" x14ac:dyDescent="0.35">
      <c r="A125" s="10">
        <v>89</v>
      </c>
      <c r="B125" s="24">
        <v>20110.367093414963</v>
      </c>
      <c r="C125" s="24">
        <v>-284.36709341496316</v>
      </c>
      <c r="D125" s="37">
        <f t="shared" si="1"/>
        <v>80864.64381727438</v>
      </c>
    </row>
    <row r="126" spans="1:4" x14ac:dyDescent="0.35">
      <c r="A126" s="10">
        <v>90</v>
      </c>
      <c r="B126" s="24">
        <v>19059.033760081642</v>
      </c>
      <c r="C126" s="24">
        <v>-838.03376008164196</v>
      </c>
      <c r="D126" s="37">
        <f t="shared" si="1"/>
        <v>702300.583036575</v>
      </c>
    </row>
    <row r="127" spans="1:4" x14ac:dyDescent="0.35">
      <c r="A127" s="10">
        <v>91</v>
      </c>
      <c r="B127" s="24">
        <v>20751.833760081634</v>
      </c>
      <c r="C127" s="24">
        <v>-1126.833760081634</v>
      </c>
      <c r="D127" s="37">
        <f t="shared" si="1"/>
        <v>1269754.3228597133</v>
      </c>
    </row>
    <row r="128" spans="1:4" x14ac:dyDescent="0.35">
      <c r="A128" s="10">
        <v>92</v>
      </c>
      <c r="B128" s="24">
        <v>19939.967093414969</v>
      </c>
      <c r="C128" s="24">
        <v>-771.96709341496899</v>
      </c>
      <c r="D128" s="37">
        <f t="shared" si="1"/>
        <v>595933.19331555546</v>
      </c>
    </row>
    <row r="129" spans="1:4" x14ac:dyDescent="0.35">
      <c r="A129" s="10">
        <v>93</v>
      </c>
      <c r="B129" s="24">
        <v>20551.9004267483</v>
      </c>
      <c r="C129" s="24">
        <v>-745.90042674829965</v>
      </c>
      <c r="D129" s="37">
        <f t="shared" si="1"/>
        <v>556367.44662329555</v>
      </c>
    </row>
    <row r="130" spans="1:4" x14ac:dyDescent="0.35">
      <c r="A130" s="10">
        <v>94</v>
      </c>
      <c r="B130" s="24">
        <v>19917.300426748305</v>
      </c>
      <c r="C130" s="24">
        <v>-1370.3004267483047</v>
      </c>
      <c r="D130" s="37">
        <f t="shared" si="1"/>
        <v>1877723.2595465861</v>
      </c>
    </row>
    <row r="131" spans="1:4" x14ac:dyDescent="0.35">
      <c r="A131" s="10">
        <v>95</v>
      </c>
      <c r="B131" s="24">
        <v>20014.567093414968</v>
      </c>
      <c r="C131" s="24">
        <v>-544.56709341496753</v>
      </c>
      <c r="D131" s="37">
        <f t="shared" si="1"/>
        <v>296553.31923042599</v>
      </c>
    </row>
    <row r="132" spans="1:4" x14ac:dyDescent="0.35">
      <c r="A132" s="10">
        <v>96</v>
      </c>
      <c r="B132" s="24">
        <v>20337.567093414968</v>
      </c>
      <c r="C132" s="24">
        <v>-775.56709341496753</v>
      </c>
      <c r="D132" s="37">
        <f t="shared" si="1"/>
        <v>601504.31638814101</v>
      </c>
    </row>
    <row r="133" spans="1:4" x14ac:dyDescent="0.35">
      <c r="A133" s="10">
        <v>97</v>
      </c>
      <c r="B133" s="24">
        <v>19714.552815321113</v>
      </c>
      <c r="C133" s="24">
        <v>-497.55281532111258</v>
      </c>
      <c r="D133" s="37">
        <f t="shared" si="1"/>
        <v>247558.80403396516</v>
      </c>
    </row>
    <row r="134" spans="1:4" x14ac:dyDescent="0.35">
      <c r="A134" s="10">
        <v>98</v>
      </c>
      <c r="B134" s="24">
        <v>20775.219481987624</v>
      </c>
      <c r="C134" s="24">
        <v>-297.21948198762402</v>
      </c>
      <c r="D134" s="37">
        <f t="shared" si="1"/>
        <v>88339.420472991565</v>
      </c>
    </row>
    <row r="135" spans="1:4" x14ac:dyDescent="0.35">
      <c r="A135" s="10">
        <v>99</v>
      </c>
      <c r="B135" s="24">
        <v>20055.486148654421</v>
      </c>
      <c r="C135" s="24">
        <v>-501.48614865442141</v>
      </c>
      <c r="D135" s="37">
        <f t="shared" si="1"/>
        <v>251488.35729224444</v>
      </c>
    </row>
    <row r="136" spans="1:4" x14ac:dyDescent="0.35">
      <c r="A136" s="10">
        <v>100</v>
      </c>
      <c r="B136" s="24">
        <v>22401.752815321088</v>
      </c>
      <c r="C136" s="24">
        <v>-327.75281532108784</v>
      </c>
      <c r="D136" s="37">
        <f t="shared" si="1"/>
        <v>107421.90795089911</v>
      </c>
    </row>
    <row r="137" spans="1:4" x14ac:dyDescent="0.35">
      <c r="A137" s="10">
        <v>101</v>
      </c>
      <c r="B137" s="24">
        <v>20801.668245785833</v>
      </c>
      <c r="C137" s="24">
        <v>-167.66824578583328</v>
      </c>
      <c r="D137" s="37">
        <f t="shared" si="1"/>
        <v>28112.640644898598</v>
      </c>
    </row>
    <row r="138" spans="1:4" x14ac:dyDescent="0.35">
      <c r="A138" s="10">
        <v>102</v>
      </c>
      <c r="B138" s="24">
        <v>19750.334912452512</v>
      </c>
      <c r="C138" s="24">
        <v>-610.33491245251207</v>
      </c>
      <c r="D138" s="37">
        <f t="shared" si="1"/>
        <v>372508.70535841555</v>
      </c>
    </row>
    <row r="139" spans="1:4" x14ac:dyDescent="0.35">
      <c r="A139" s="10">
        <v>103</v>
      </c>
      <c r="B139" s="24">
        <v>21443.134912452504</v>
      </c>
      <c r="C139" s="24">
        <v>-955.13491245250407</v>
      </c>
      <c r="D139" s="37">
        <f t="shared" si="1"/>
        <v>912282.70098565263</v>
      </c>
    </row>
    <row r="140" spans="1:4" x14ac:dyDescent="0.35">
      <c r="A140" s="10">
        <v>104</v>
      </c>
      <c r="B140" s="24">
        <v>20631.268245785839</v>
      </c>
      <c r="C140" s="24">
        <v>-10.268245785839099</v>
      </c>
      <c r="D140" s="37">
        <f t="shared" si="1"/>
        <v>105.43687151840241</v>
      </c>
    </row>
    <row r="141" spans="1:4" x14ac:dyDescent="0.35">
      <c r="A141" s="10">
        <v>105</v>
      </c>
      <c r="B141" s="24">
        <v>21243.20157911917</v>
      </c>
      <c r="C141" s="24">
        <v>-174.20157911916976</v>
      </c>
      <c r="D141" s="37">
        <f t="shared" si="1"/>
        <v>30346.190167612363</v>
      </c>
    </row>
    <row r="142" spans="1:4" x14ac:dyDescent="0.35">
      <c r="A142" s="10">
        <v>106</v>
      </c>
      <c r="B142" s="24">
        <v>20608.601579119175</v>
      </c>
      <c r="C142" s="24">
        <v>-187.60157911917486</v>
      </c>
      <c r="D142" s="37">
        <f t="shared" si="1"/>
        <v>35194.352488008022</v>
      </c>
    </row>
    <row r="143" spans="1:4" x14ac:dyDescent="0.35">
      <c r="A143" s="10">
        <v>107</v>
      </c>
      <c r="B143" s="24">
        <v>20705.868245785838</v>
      </c>
      <c r="C143" s="24">
        <v>204.13175421416236</v>
      </c>
      <c r="D143" s="37">
        <f t="shared" si="1"/>
        <v>41669.773078551189</v>
      </c>
    </row>
    <row r="144" spans="1:4" x14ac:dyDescent="0.35">
      <c r="A144" s="10">
        <v>108</v>
      </c>
      <c r="B144" s="24">
        <v>21028.868245785838</v>
      </c>
      <c r="C144" s="24">
        <v>-397.86824578583764</v>
      </c>
      <c r="D144" s="37">
        <f t="shared" si="1"/>
        <v>158299.14100469972</v>
      </c>
    </row>
    <row r="145" spans="1:4" x14ac:dyDescent="0.35">
      <c r="A145" s="10">
        <v>109</v>
      </c>
      <c r="B145" s="24">
        <v>20405.853967691983</v>
      </c>
      <c r="C145" s="24">
        <v>293.14603230801731</v>
      </c>
      <c r="D145" s="37">
        <f t="shared" si="1"/>
        <v>85934.596257933124</v>
      </c>
    </row>
    <row r="146" spans="1:4" x14ac:dyDescent="0.35">
      <c r="A146" s="10">
        <v>110</v>
      </c>
      <c r="B146" s="24">
        <v>21466.520634358494</v>
      </c>
      <c r="C146" s="24">
        <v>209.47936564150586</v>
      </c>
      <c r="D146" s="37">
        <f t="shared" si="1"/>
        <v>43881.604629567708</v>
      </c>
    </row>
    <row r="147" spans="1:4" x14ac:dyDescent="0.35">
      <c r="A147" s="10">
        <v>111</v>
      </c>
      <c r="B147" s="24">
        <v>20746.787301025292</v>
      </c>
      <c r="C147" s="24">
        <v>-535.78730102529153</v>
      </c>
      <c r="D147" s="37">
        <f t="shared" si="1"/>
        <v>287068.03193996637</v>
      </c>
    </row>
    <row r="148" spans="1:4" x14ac:dyDescent="0.35">
      <c r="A148" s="10">
        <v>112</v>
      </c>
      <c r="B148" s="24">
        <v>23093.053967691958</v>
      </c>
      <c r="C148" s="24">
        <v>952.94603230804205</v>
      </c>
      <c r="D148" s="37">
        <f t="shared" si="1"/>
        <v>908106.14049163996</v>
      </c>
    </row>
    <row r="149" spans="1:4" x14ac:dyDescent="0.35">
      <c r="A149" s="10">
        <v>113</v>
      </c>
      <c r="B149" s="24">
        <v>21517.551495299638</v>
      </c>
      <c r="C149" s="24">
        <v>195.44850470036181</v>
      </c>
      <c r="D149" s="37">
        <f t="shared" si="1"/>
        <v>38200.117989607352</v>
      </c>
    </row>
    <row r="150" spans="1:4" x14ac:dyDescent="0.35">
      <c r="A150" s="10">
        <v>114</v>
      </c>
      <c r="B150" s="24">
        <v>20466.218161966317</v>
      </c>
      <c r="C150" s="24">
        <v>-381.21816196631698</v>
      </c>
      <c r="D150" s="37">
        <f t="shared" si="1"/>
        <v>145327.28701297709</v>
      </c>
    </row>
    <row r="151" spans="1:4" x14ac:dyDescent="0.35">
      <c r="A151" s="10">
        <v>115</v>
      </c>
      <c r="B151" s="24">
        <v>22159.018161966309</v>
      </c>
      <c r="C151" s="24">
        <v>206.98183803369102</v>
      </c>
      <c r="D151" s="37">
        <f t="shared" si="1"/>
        <v>42841.481275805105</v>
      </c>
    </row>
    <row r="152" spans="1:4" x14ac:dyDescent="0.35">
      <c r="A152" s="10">
        <v>116</v>
      </c>
      <c r="B152" s="24">
        <v>21347.151495299644</v>
      </c>
      <c r="C152" s="24">
        <v>203.84850470035599</v>
      </c>
      <c r="D152" s="37">
        <f t="shared" si="1"/>
        <v>41554.212868571056</v>
      </c>
    </row>
    <row r="153" spans="1:4" x14ac:dyDescent="0.35">
      <c r="A153" s="10">
        <v>117</v>
      </c>
      <c r="B153" s="24">
        <v>21959.084828632975</v>
      </c>
      <c r="C153" s="24">
        <v>-498.08482863297468</v>
      </c>
      <c r="D153" s="37">
        <f t="shared" si="1"/>
        <v>248088.49651433976</v>
      </c>
    </row>
    <row r="154" spans="1:4" x14ac:dyDescent="0.35">
      <c r="A154" s="10">
        <v>118</v>
      </c>
      <c r="B154" s="24">
        <v>21324.48482863298</v>
      </c>
      <c r="C154" s="24">
        <v>164.51517136702023</v>
      </c>
      <c r="D154" s="37">
        <f t="shared" si="1"/>
        <v>27065.241609920035</v>
      </c>
    </row>
    <row r="155" spans="1:4" x14ac:dyDescent="0.35">
      <c r="A155" s="10">
        <v>119</v>
      </c>
      <c r="B155" s="24">
        <v>21421.751495299643</v>
      </c>
      <c r="C155" s="24">
        <v>352.24850470035744</v>
      </c>
      <c r="D155" s="37">
        <f t="shared" si="1"/>
        <v>124079.00906363774</v>
      </c>
    </row>
    <row r="156" spans="1:4" x14ac:dyDescent="0.35">
      <c r="A156" s="10">
        <v>120</v>
      </c>
      <c r="B156" s="24">
        <v>21744.751495299643</v>
      </c>
      <c r="C156" s="24">
        <v>-211.75149529964256</v>
      </c>
      <c r="D156" s="37">
        <f t="shared" si="1"/>
        <v>44838.695761634546</v>
      </c>
    </row>
    <row r="157" spans="1:4" x14ac:dyDescent="0.35">
      <c r="A157" s="10">
        <v>121</v>
      </c>
      <c r="B157" s="24">
        <v>21121.737217205788</v>
      </c>
      <c r="C157" s="24">
        <v>896.2627827942124</v>
      </c>
      <c r="D157" s="37">
        <f t="shared" si="1"/>
        <v>803286.97582202556</v>
      </c>
    </row>
    <row r="158" spans="1:4" x14ac:dyDescent="0.35">
      <c r="A158" s="10">
        <v>122</v>
      </c>
      <c r="B158" s="24">
        <v>22182.403883872299</v>
      </c>
      <c r="C158" s="24">
        <v>442.59611612770095</v>
      </c>
      <c r="D158" s="37">
        <f t="shared" si="1"/>
        <v>195891.32201132533</v>
      </c>
    </row>
    <row r="159" spans="1:4" x14ac:dyDescent="0.35">
      <c r="A159" s="10">
        <v>123</v>
      </c>
      <c r="B159" s="24">
        <v>21462.670550539096</v>
      </c>
      <c r="C159" s="24">
        <v>179.32944946090356</v>
      </c>
      <c r="D159" s="37">
        <f t="shared" si="1"/>
        <v>32159.051443950764</v>
      </c>
    </row>
    <row r="160" spans="1:4" x14ac:dyDescent="0.35">
      <c r="A160" s="10">
        <v>124</v>
      </c>
      <c r="B160" s="24">
        <v>23808.937217205763</v>
      </c>
      <c r="C160" s="24">
        <v>1403.0627827942371</v>
      </c>
      <c r="D160" s="37">
        <f t="shared" si="1"/>
        <v>1968585.1724623085</v>
      </c>
    </row>
    <row r="161" spans="1:4" x14ac:dyDescent="0.35">
      <c r="A161" s="10">
        <v>125</v>
      </c>
      <c r="B161" s="24">
        <v>22258.016841948927</v>
      </c>
      <c r="C161" s="24">
        <v>-101.01684194892732</v>
      </c>
      <c r="D161" s="37">
        <f t="shared" si="1"/>
        <v>10204.402357334562</v>
      </c>
    </row>
    <row r="162" spans="1:4" x14ac:dyDescent="0.35">
      <c r="A162" s="10">
        <v>126</v>
      </c>
      <c r="B162" s="24">
        <v>21206.683508615606</v>
      </c>
      <c r="C162" s="24">
        <v>1183.3164913843939</v>
      </c>
      <c r="D162" s="37">
        <f t="shared" si="1"/>
        <v>1400237.9187822724</v>
      </c>
    </row>
    <row r="163" spans="1:4" x14ac:dyDescent="0.35">
      <c r="A163" s="10">
        <v>127</v>
      </c>
      <c r="B163" s="24">
        <v>22899.483508615598</v>
      </c>
      <c r="C163" s="24">
        <v>650.51649138440189</v>
      </c>
      <c r="D163" s="37">
        <f t="shared" si="1"/>
        <v>423171.70556307264</v>
      </c>
    </row>
    <row r="164" spans="1:4" x14ac:dyDescent="0.35">
      <c r="A164" s="10">
        <v>128</v>
      </c>
      <c r="B164" s="24">
        <v>22087.616841948933</v>
      </c>
      <c r="C164" s="24">
        <v>562.38315805106686</v>
      </c>
      <c r="D164" s="37">
        <f t="shared" si="1"/>
        <v>316274.81645949127</v>
      </c>
    </row>
    <row r="165" spans="1:4" x14ac:dyDescent="0.35">
      <c r="A165" s="10">
        <v>129</v>
      </c>
      <c r="B165" s="24">
        <v>22699.550175282264</v>
      </c>
      <c r="C165" s="24">
        <v>391.44982471773619</v>
      </c>
      <c r="D165" s="37">
        <f t="shared" si="1"/>
        <v>153232.96527154639</v>
      </c>
    </row>
    <row r="166" spans="1:4" x14ac:dyDescent="0.35">
      <c r="A166" s="10">
        <v>130</v>
      </c>
      <c r="B166" s="24">
        <v>22064.950175282269</v>
      </c>
      <c r="C166" s="24">
        <v>631.0498247177311</v>
      </c>
      <c r="D166" s="37">
        <f t="shared" ref="D166:D216" si="2">C166*C166</f>
        <v>398223.88127627916</v>
      </c>
    </row>
    <row r="167" spans="1:4" x14ac:dyDescent="0.35">
      <c r="A167" s="10">
        <v>131</v>
      </c>
      <c r="B167" s="24">
        <v>22162.216841948932</v>
      </c>
      <c r="C167" s="24">
        <v>-5.2168419489316875</v>
      </c>
      <c r="D167" s="37">
        <f t="shared" si="2"/>
        <v>27.215439920133367</v>
      </c>
    </row>
    <row r="168" spans="1:4" x14ac:dyDescent="0.35">
      <c r="A168" s="10">
        <v>132</v>
      </c>
      <c r="B168" s="24">
        <v>22485.216841948932</v>
      </c>
      <c r="C168" s="24">
        <v>503.78315805106831</v>
      </c>
      <c r="D168" s="37">
        <f t="shared" si="2"/>
        <v>253797.47033590768</v>
      </c>
    </row>
    <row r="169" spans="1:4" x14ac:dyDescent="0.35">
      <c r="A169" s="10">
        <v>133</v>
      </c>
      <c r="B169" s="24">
        <v>21862.202563855077</v>
      </c>
      <c r="C169" s="24">
        <v>348.79743614492327</v>
      </c>
      <c r="D169" s="37">
        <f t="shared" si="2"/>
        <v>121659.65146127183</v>
      </c>
    </row>
    <row r="170" spans="1:4" x14ac:dyDescent="0.35">
      <c r="A170" s="10">
        <v>134</v>
      </c>
      <c r="B170" s="24">
        <v>22922.869230521588</v>
      </c>
      <c r="C170" s="24">
        <v>-826.86923052158818</v>
      </c>
      <c r="D170" s="37">
        <f t="shared" si="2"/>
        <v>683712.72438336338</v>
      </c>
    </row>
    <row r="171" spans="1:4" x14ac:dyDescent="0.35">
      <c r="A171" s="10">
        <v>135</v>
      </c>
      <c r="B171" s="24">
        <v>22203.135897188386</v>
      </c>
      <c r="C171" s="24">
        <v>-349.13589718838557</v>
      </c>
      <c r="D171" s="37">
        <f t="shared" si="2"/>
        <v>121895.87470553894</v>
      </c>
    </row>
    <row r="172" spans="1:4" x14ac:dyDescent="0.35">
      <c r="A172" s="10">
        <v>136</v>
      </c>
      <c r="B172" s="24">
        <v>24549.402563855052</v>
      </c>
      <c r="C172" s="24">
        <v>-60.402563855051994</v>
      </c>
      <c r="D172" s="37">
        <f t="shared" si="2"/>
        <v>3648.4697202636335</v>
      </c>
    </row>
    <row r="173" spans="1:4" x14ac:dyDescent="0.35">
      <c r="A173" s="10">
        <v>137</v>
      </c>
      <c r="B173" s="24">
        <v>23023.06428572625</v>
      </c>
      <c r="C173" s="24">
        <v>-644.06428572625009</v>
      </c>
      <c r="D173" s="37">
        <f t="shared" si="2"/>
        <v>414818.80414806469</v>
      </c>
    </row>
    <row r="174" spans="1:4" x14ac:dyDescent="0.35">
      <c r="A174" s="10">
        <v>138</v>
      </c>
      <c r="B174" s="24">
        <v>21971.730952392929</v>
      </c>
      <c r="C174" s="24">
        <v>-737.73095239292888</v>
      </c>
      <c r="D174" s="37">
        <f t="shared" si="2"/>
        <v>544246.95811857795</v>
      </c>
    </row>
    <row r="175" spans="1:4" x14ac:dyDescent="0.35">
      <c r="A175" s="10">
        <v>139</v>
      </c>
      <c r="B175" s="24">
        <v>23664.530952392921</v>
      </c>
      <c r="C175" s="24">
        <v>-316.53095239292088</v>
      </c>
      <c r="D175" s="37">
        <f t="shared" si="2"/>
        <v>100191.84382276954</v>
      </c>
    </row>
    <row r="176" spans="1:4" x14ac:dyDescent="0.35">
      <c r="A176" s="10">
        <v>140</v>
      </c>
      <c r="B176" s="24">
        <v>22852.664285726256</v>
      </c>
      <c r="C176" s="24">
        <v>-558.66428572625591</v>
      </c>
      <c r="D176" s="37">
        <f t="shared" si="2"/>
        <v>312105.7841460277</v>
      </c>
    </row>
    <row r="177" spans="1:4" x14ac:dyDescent="0.35">
      <c r="A177" s="10">
        <v>141</v>
      </c>
      <c r="B177" s="24">
        <v>23464.597619059587</v>
      </c>
      <c r="C177" s="24">
        <v>272.40238094041342</v>
      </c>
      <c r="D177" s="37">
        <f t="shared" si="2"/>
        <v>74203.057142006117</v>
      </c>
    </row>
    <row r="178" spans="1:4" x14ac:dyDescent="0.35">
      <c r="A178" s="10">
        <v>142</v>
      </c>
      <c r="B178" s="24">
        <v>22829.997619059592</v>
      </c>
      <c r="C178" s="24">
        <v>225.00238094040833</v>
      </c>
      <c r="D178" s="37">
        <f t="shared" si="2"/>
        <v>50626.071428852629</v>
      </c>
    </row>
    <row r="179" spans="1:4" x14ac:dyDescent="0.35">
      <c r="A179" s="10">
        <v>143</v>
      </c>
      <c r="B179" s="24">
        <v>22927.264285726254</v>
      </c>
      <c r="C179" s="24">
        <v>-632.26428572625446</v>
      </c>
      <c r="D179" s="37">
        <f t="shared" si="2"/>
        <v>399758.12700493075</v>
      </c>
    </row>
    <row r="180" spans="1:4" x14ac:dyDescent="0.35">
      <c r="A180" s="10">
        <v>144</v>
      </c>
      <c r="B180" s="24">
        <v>23250.264285726254</v>
      </c>
      <c r="C180" s="24">
        <v>289.73571427374554</v>
      </c>
      <c r="D180" s="37">
        <f t="shared" si="2"/>
        <v>83946.784125717517</v>
      </c>
    </row>
    <row r="181" spans="1:4" x14ac:dyDescent="0.35">
      <c r="A181" s="10">
        <v>145</v>
      </c>
      <c r="B181" s="24">
        <v>22627.2500076324</v>
      </c>
      <c r="C181" s="24">
        <v>0.74999236760049826</v>
      </c>
      <c r="D181" s="37">
        <f t="shared" si="2"/>
        <v>0.5624885514590009</v>
      </c>
    </row>
    <row r="182" spans="1:4" x14ac:dyDescent="0.35">
      <c r="A182" s="10">
        <v>146</v>
      </c>
      <c r="B182" s="24">
        <v>23687.916674298911</v>
      </c>
      <c r="C182" s="24">
        <v>417.08332570108905</v>
      </c>
      <c r="D182" s="37">
        <f t="shared" si="2"/>
        <v>173958.50057788074</v>
      </c>
    </row>
    <row r="183" spans="1:4" x14ac:dyDescent="0.35">
      <c r="A183" s="10">
        <v>147</v>
      </c>
      <c r="B183" s="24">
        <v>22968.183340965708</v>
      </c>
      <c r="C183" s="24">
        <v>390.81665903429166</v>
      </c>
      <c r="D183" s="37">
        <f t="shared" si="2"/>
        <v>152737.66097872579</v>
      </c>
    </row>
    <row r="184" spans="1:4" x14ac:dyDescent="0.35">
      <c r="A184" s="10">
        <v>148</v>
      </c>
      <c r="B184" s="24">
        <v>25314.450007632375</v>
      </c>
      <c r="C184" s="24">
        <v>107.54999236762524</v>
      </c>
      <c r="D184" s="37">
        <f t="shared" si="2"/>
        <v>11567.000858276248</v>
      </c>
    </row>
    <row r="185" spans="1:4" x14ac:dyDescent="0.35">
      <c r="A185" s="10">
        <v>149</v>
      </c>
      <c r="B185" s="24">
        <v>23812.693826639057</v>
      </c>
      <c r="C185" s="24">
        <v>467.30617336094292</v>
      </c>
      <c r="D185" s="37">
        <f t="shared" si="2"/>
        <v>218375.05966124765</v>
      </c>
    </row>
    <row r="186" spans="1:4" x14ac:dyDescent="0.35">
      <c r="A186" s="10">
        <v>150</v>
      </c>
      <c r="B186" s="24">
        <v>22761.360493305736</v>
      </c>
      <c r="C186" s="24">
        <v>-754.36049330573587</v>
      </c>
      <c r="D186" s="37">
        <f t="shared" si="2"/>
        <v>569059.75386047317</v>
      </c>
    </row>
    <row r="187" spans="1:4" x14ac:dyDescent="0.35">
      <c r="A187" s="10">
        <v>151</v>
      </c>
      <c r="B187" s="24">
        <v>24454.160493305728</v>
      </c>
      <c r="C187" s="24">
        <v>-379.16049330572787</v>
      </c>
      <c r="D187" s="37">
        <f t="shared" si="2"/>
        <v>143762.6796838429</v>
      </c>
    </row>
    <row r="188" spans="1:4" x14ac:dyDescent="0.35">
      <c r="A188" s="10">
        <v>152</v>
      </c>
      <c r="B188" s="24">
        <v>23642.293826639063</v>
      </c>
      <c r="C188" s="24">
        <v>-400.2938266390629</v>
      </c>
      <c r="D188" s="37">
        <f t="shared" si="2"/>
        <v>160235.14764534414</v>
      </c>
    </row>
    <row r="189" spans="1:4" x14ac:dyDescent="0.35">
      <c r="A189" s="10">
        <v>153</v>
      </c>
      <c r="B189" s="24">
        <v>24254.227159972394</v>
      </c>
      <c r="C189" s="24">
        <v>593.77284002760643</v>
      </c>
      <c r="D189" s="37">
        <f t="shared" si="2"/>
        <v>352566.1855544495</v>
      </c>
    </row>
    <row r="190" spans="1:4" x14ac:dyDescent="0.35">
      <c r="A190" s="10">
        <v>154</v>
      </c>
      <c r="B190" s="24">
        <v>23619.627159972399</v>
      </c>
      <c r="C190" s="24">
        <v>-290.62715997239866</v>
      </c>
      <c r="D190" s="37">
        <f t="shared" si="2"/>
        <v>84464.146113622206</v>
      </c>
    </row>
    <row r="191" spans="1:4" x14ac:dyDescent="0.35">
      <c r="A191" s="10">
        <v>155</v>
      </c>
      <c r="B191" s="24">
        <v>23716.893826639061</v>
      </c>
      <c r="C191" s="24">
        <v>-135.89382663906144</v>
      </c>
      <c r="D191" s="37">
        <f t="shared" si="2"/>
        <v>18467.132118607286</v>
      </c>
    </row>
    <row r="192" spans="1:4" x14ac:dyDescent="0.35">
      <c r="A192" s="10">
        <v>156</v>
      </c>
      <c r="B192" s="24">
        <v>24039.893826639061</v>
      </c>
      <c r="C192" s="24">
        <v>722.10617336093856</v>
      </c>
      <c r="D192" s="37">
        <f t="shared" si="2"/>
        <v>521437.32560597785</v>
      </c>
    </row>
    <row r="193" spans="1:4" x14ac:dyDescent="0.35">
      <c r="A193" s="10">
        <v>157</v>
      </c>
      <c r="B193" s="24">
        <v>23416.879548545206</v>
      </c>
      <c r="C193" s="24">
        <v>-486.87954854520649</v>
      </c>
      <c r="D193" s="37">
        <f t="shared" si="2"/>
        <v>237051.69479158407</v>
      </c>
    </row>
    <row r="194" spans="1:4" x14ac:dyDescent="0.35">
      <c r="A194" s="10">
        <v>158</v>
      </c>
      <c r="B194" s="24">
        <v>24477.546215211718</v>
      </c>
      <c r="C194" s="24">
        <v>1130.4537847882821</v>
      </c>
      <c r="D194" s="37">
        <f t="shared" si="2"/>
        <v>1277925.7595421516</v>
      </c>
    </row>
    <row r="195" spans="1:4" x14ac:dyDescent="0.35">
      <c r="A195" s="10">
        <v>159</v>
      </c>
      <c r="B195" s="24">
        <v>23757.812881878515</v>
      </c>
      <c r="C195" s="24">
        <v>795.18711812148467</v>
      </c>
      <c r="D195" s="37">
        <f t="shared" si="2"/>
        <v>632322.55282635207</v>
      </c>
    </row>
    <row r="196" spans="1:4" x14ac:dyDescent="0.35">
      <c r="A196" s="10">
        <v>160</v>
      </c>
      <c r="B196" s="24">
        <v>26104.079548545182</v>
      </c>
      <c r="C196" s="24">
        <v>-473.07954854518175</v>
      </c>
      <c r="D196" s="37">
        <f t="shared" si="2"/>
        <v>223804.25925171297</v>
      </c>
    </row>
    <row r="197" spans="1:4" x14ac:dyDescent="0.35">
      <c r="A197" s="10">
        <v>161</v>
      </c>
      <c r="B197" s="24">
        <v>24626.905464687348</v>
      </c>
      <c r="C197" s="24">
        <v>410.09453531265171</v>
      </c>
      <c r="D197" s="37">
        <f t="shared" si="2"/>
        <v>168177.52789329973</v>
      </c>
    </row>
    <row r="198" spans="1:4" x14ac:dyDescent="0.35">
      <c r="A198" s="10">
        <v>162</v>
      </c>
      <c r="B198" s="24">
        <v>23575.572131354027</v>
      </c>
      <c r="C198" s="24">
        <v>-335.57213135402708</v>
      </c>
      <c r="D198" s="37">
        <f t="shared" si="2"/>
        <v>112608.65534148441</v>
      </c>
    </row>
    <row r="199" spans="1:4" x14ac:dyDescent="0.35">
      <c r="A199" s="10">
        <v>163</v>
      </c>
      <c r="B199" s="24">
        <v>25268.372131354019</v>
      </c>
      <c r="C199" s="24">
        <v>-691.37213135401907</v>
      </c>
      <c r="D199" s="37">
        <f t="shared" si="2"/>
        <v>477995.42401299899</v>
      </c>
    </row>
    <row r="200" spans="1:4" x14ac:dyDescent="0.35">
      <c r="A200" s="10">
        <v>164</v>
      </c>
      <c r="B200" s="24">
        <v>24456.505464687354</v>
      </c>
      <c r="C200" s="24">
        <v>349.49453531264589</v>
      </c>
      <c r="D200" s="37">
        <f t="shared" si="2"/>
        <v>122146.43021340229</v>
      </c>
    </row>
    <row r="201" spans="1:4" x14ac:dyDescent="0.35">
      <c r="A201" s="10">
        <v>165</v>
      </c>
      <c r="B201" s="24">
        <v>25068.438798020685</v>
      </c>
      <c r="C201" s="24">
        <v>648.56120197931523</v>
      </c>
      <c r="D201" s="37">
        <f t="shared" si="2"/>
        <v>420631.63271285413</v>
      </c>
    </row>
    <row r="202" spans="1:4" x14ac:dyDescent="0.35">
      <c r="A202" s="10">
        <v>166</v>
      </c>
      <c r="B202" s="24">
        <v>24433.83879802069</v>
      </c>
      <c r="C202" s="24">
        <v>-688.83879802068986</v>
      </c>
      <c r="D202" s="37">
        <f t="shared" si="2"/>
        <v>474498.88965858874</v>
      </c>
    </row>
    <row r="203" spans="1:4" x14ac:dyDescent="0.35">
      <c r="A203" s="10">
        <v>167</v>
      </c>
      <c r="B203" s="24">
        <v>24531.105464687353</v>
      </c>
      <c r="C203" s="24">
        <v>-0.1054646873526508</v>
      </c>
      <c r="D203" s="37">
        <f t="shared" si="2"/>
        <v>1.1122800278392381E-2</v>
      </c>
    </row>
    <row r="204" spans="1:4" x14ac:dyDescent="0.35">
      <c r="A204" s="10">
        <v>168</v>
      </c>
      <c r="B204" s="24">
        <v>24854.105464687353</v>
      </c>
      <c r="C204" s="24">
        <v>-144.10546468735265</v>
      </c>
      <c r="D204" s="37">
        <f t="shared" si="2"/>
        <v>20766.384952757842</v>
      </c>
    </row>
    <row r="205" spans="1:4" x14ac:dyDescent="0.35">
      <c r="A205" s="10">
        <v>169</v>
      </c>
      <c r="B205" s="24">
        <v>24231.091186593498</v>
      </c>
      <c r="C205" s="24">
        <v>-601.0911865934977</v>
      </c>
      <c r="D205" s="37">
        <f t="shared" si="2"/>
        <v>361310.61460037908</v>
      </c>
    </row>
    <row r="206" spans="1:4" x14ac:dyDescent="0.35">
      <c r="A206" s="10">
        <v>170</v>
      </c>
      <c r="B206" s="24">
        <v>25291.757853260009</v>
      </c>
      <c r="C206" s="24">
        <v>805.24214673999086</v>
      </c>
      <c r="D206" s="37">
        <f t="shared" si="2"/>
        <v>648414.91488642897</v>
      </c>
    </row>
    <row r="207" spans="1:4" x14ac:dyDescent="0.35">
      <c r="A207" s="10">
        <v>171</v>
      </c>
      <c r="B207" s="24">
        <v>24572.024519926807</v>
      </c>
      <c r="C207" s="24">
        <v>-608.02451992680653</v>
      </c>
      <c r="D207" s="37">
        <f t="shared" si="2"/>
        <v>369693.81683222356</v>
      </c>
    </row>
    <row r="208" spans="1:4" x14ac:dyDescent="0.35">
      <c r="A208" s="10">
        <v>172</v>
      </c>
      <c r="B208" s="24">
        <v>26918.291186593473</v>
      </c>
      <c r="C208" s="24">
        <v>-409.29118659347296</v>
      </c>
      <c r="D208" s="37">
        <f t="shared" si="2"/>
        <v>167519.27542309309</v>
      </c>
    </row>
    <row r="209" spans="1:4" x14ac:dyDescent="0.35">
      <c r="A209" s="10">
        <v>173</v>
      </c>
      <c r="B209" s="24">
        <v>25465.699199856223</v>
      </c>
      <c r="C209" s="24">
        <v>-256.69919985622255</v>
      </c>
      <c r="D209" s="37">
        <f t="shared" si="2"/>
        <v>65894.479206824893</v>
      </c>
    </row>
    <row r="210" spans="1:4" x14ac:dyDescent="0.35">
      <c r="A210" s="10">
        <v>174</v>
      </c>
      <c r="B210" s="24">
        <v>24414.365866522901</v>
      </c>
      <c r="C210" s="24">
        <v>-480.36586652290134</v>
      </c>
      <c r="D210" s="37">
        <f t="shared" si="2"/>
        <v>230751.36572029788</v>
      </c>
    </row>
    <row r="211" spans="1:4" x14ac:dyDescent="0.35">
      <c r="A211" s="10">
        <v>175</v>
      </c>
      <c r="B211" s="24">
        <v>26107.165866522893</v>
      </c>
      <c r="C211" s="24">
        <v>1731.8341334771067</v>
      </c>
      <c r="D211" s="37">
        <f t="shared" si="2"/>
        <v>2999249.4658764009</v>
      </c>
    </row>
    <row r="212" spans="1:4" x14ac:dyDescent="0.35">
      <c r="A212" s="10">
        <v>176</v>
      </c>
      <c r="B212" s="24">
        <v>25295.299199856228</v>
      </c>
      <c r="C212" s="24">
        <v>-546.29919985622837</v>
      </c>
      <c r="D212" s="37">
        <f t="shared" si="2"/>
        <v>298442.81576355535</v>
      </c>
    </row>
    <row r="213" spans="1:4" x14ac:dyDescent="0.35">
      <c r="A213" s="10">
        <v>177</v>
      </c>
      <c r="B213" s="24">
        <v>25907.232533189559</v>
      </c>
      <c r="C213" s="24">
        <v>-984.23253318955904</v>
      </c>
      <c r="D213" s="37">
        <f t="shared" si="2"/>
        <v>968713.67938873637</v>
      </c>
    </row>
    <row r="214" spans="1:4" x14ac:dyDescent="0.35">
      <c r="A214" s="10">
        <v>178</v>
      </c>
      <c r="B214" s="24">
        <v>25272.632533189564</v>
      </c>
      <c r="C214" s="24">
        <v>568.36746681043587</v>
      </c>
      <c r="D214" s="37">
        <f t="shared" si="2"/>
        <v>323041.57732851192</v>
      </c>
    </row>
    <row r="215" spans="1:4" x14ac:dyDescent="0.35">
      <c r="A215" s="10">
        <v>179</v>
      </c>
      <c r="B215" s="24">
        <v>25369.899199856227</v>
      </c>
      <c r="C215" s="24">
        <v>964.10080014377309</v>
      </c>
      <c r="D215" s="37">
        <f t="shared" si="2"/>
        <v>929490.35283786349</v>
      </c>
    </row>
    <row r="216" spans="1:4" ht="15" thickBot="1" x14ac:dyDescent="0.4">
      <c r="A216" s="11">
        <v>180</v>
      </c>
      <c r="B216" s="25">
        <v>25692.899199856227</v>
      </c>
      <c r="C216" s="25">
        <v>220.10080014377309</v>
      </c>
      <c r="D216" s="37">
        <f t="shared" si="2"/>
        <v>48444.362223929144</v>
      </c>
    </row>
  </sheetData>
  <mergeCells count="1">
    <mergeCell ref="D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05CC-DE10-4D23-883C-BEC01F1B39E0}">
  <dimension ref="A1:H181"/>
  <sheetViews>
    <sheetView workbookViewId="0">
      <selection activeCell="H2" sqref="H2"/>
    </sheetView>
  </sheetViews>
  <sheetFormatPr defaultRowHeight="14.5" x14ac:dyDescent="0.35"/>
  <cols>
    <col min="1" max="1" width="11.08984375" bestFit="1" customWidth="1"/>
    <col min="2" max="2" width="4.81640625" bestFit="1" customWidth="1"/>
    <col min="3" max="3" width="22" style="7" bestFit="1" customWidth="1"/>
    <col min="4" max="4" width="4.81640625" bestFit="1" customWidth="1"/>
    <col min="5" max="5" width="6.1796875" bestFit="1" customWidth="1"/>
    <col min="6" max="6" width="13.90625" bestFit="1" customWidth="1"/>
    <col min="7" max="7" width="35.6328125" bestFit="1" customWidth="1"/>
    <col min="8" max="8" width="39" style="44" bestFit="1" customWidth="1"/>
  </cols>
  <sheetData>
    <row r="1" spans="1:8" x14ac:dyDescent="0.35">
      <c r="A1" t="s">
        <v>174</v>
      </c>
      <c r="B1" t="s">
        <v>175</v>
      </c>
      <c r="C1" s="7" t="s">
        <v>4</v>
      </c>
      <c r="D1" t="s">
        <v>175</v>
      </c>
      <c r="E1" t="s">
        <v>184</v>
      </c>
      <c r="F1" t="s">
        <v>229</v>
      </c>
      <c r="G1" s="7" t="s">
        <v>230</v>
      </c>
      <c r="H1" s="43" t="s">
        <v>236</v>
      </c>
    </row>
    <row r="2" spans="1:8" x14ac:dyDescent="0.35">
      <c r="A2" s="1" t="s">
        <v>0</v>
      </c>
      <c r="B2" t="str">
        <f t="shared" ref="B2:B33" si="0">MID(A2,6,4)</f>
        <v>2005</v>
      </c>
      <c r="C2" s="21">
        <v>14615</v>
      </c>
      <c r="D2" s="6">
        <v>2005</v>
      </c>
      <c r="E2">
        <v>1</v>
      </c>
      <c r="F2" s="30">
        <v>0.98079097156469441</v>
      </c>
      <c r="G2" s="38">
        <f>C2/F2</f>
        <v>14901.238310426243</v>
      </c>
      <c r="H2" s="112">
        <f>LN(G2)</f>
        <v>9.6091995965625632</v>
      </c>
    </row>
    <row r="3" spans="1:8" x14ac:dyDescent="0.35">
      <c r="A3" s="1" t="s">
        <v>1</v>
      </c>
      <c r="B3" t="str">
        <f t="shared" si="0"/>
        <v>2005</v>
      </c>
      <c r="C3" s="21">
        <v>14846</v>
      </c>
      <c r="D3" s="6">
        <v>2005</v>
      </c>
      <c r="E3">
        <v>2</v>
      </c>
      <c r="F3" s="30">
        <v>1.0323394347969677</v>
      </c>
      <c r="G3" s="38">
        <f t="shared" ref="G3:G66" si="1">C3/F3</f>
        <v>14380.928887909618</v>
      </c>
      <c r="H3" s="112">
        <f t="shared" ref="H3:H66" si="2">LN(G3)</f>
        <v>9.573658225010071</v>
      </c>
    </row>
    <row r="4" spans="1:8" x14ac:dyDescent="0.35">
      <c r="A4" s="1" t="s">
        <v>2</v>
      </c>
      <c r="B4" t="str">
        <f t="shared" si="0"/>
        <v>2005</v>
      </c>
      <c r="C4" s="21">
        <v>14885</v>
      </c>
      <c r="D4" s="6">
        <v>2005</v>
      </c>
      <c r="E4">
        <v>3</v>
      </c>
      <c r="F4" s="30">
        <v>0.9922802514367296</v>
      </c>
      <c r="G4" s="38">
        <f t="shared" si="1"/>
        <v>15000.802422952491</v>
      </c>
      <c r="H4" s="112">
        <f t="shared" si="2"/>
        <v>9.6158589735170477</v>
      </c>
    </row>
    <row r="5" spans="1:8" x14ac:dyDescent="0.35">
      <c r="A5" s="1" t="s">
        <v>3</v>
      </c>
      <c r="B5" t="str">
        <f t="shared" si="0"/>
        <v>2005</v>
      </c>
      <c r="C5" s="21">
        <v>17103</v>
      </c>
      <c r="D5" s="6">
        <v>2005</v>
      </c>
      <c r="E5">
        <v>4</v>
      </c>
      <c r="F5" s="30">
        <v>1.1073678838309451</v>
      </c>
      <c r="G5" s="38">
        <f t="shared" si="1"/>
        <v>15444.731827359919</v>
      </c>
      <c r="H5" s="112">
        <f t="shared" si="2"/>
        <v>9.6450232421303923</v>
      </c>
    </row>
    <row r="6" spans="1:8" x14ac:dyDescent="0.35">
      <c r="A6" s="1" t="s">
        <v>5</v>
      </c>
      <c r="B6" t="str">
        <f t="shared" si="0"/>
        <v>2006</v>
      </c>
      <c r="C6" s="21">
        <v>15257</v>
      </c>
      <c r="D6" s="6">
        <v>2006</v>
      </c>
      <c r="E6">
        <v>5</v>
      </c>
      <c r="F6" s="30">
        <v>1.0234185080278571</v>
      </c>
      <c r="G6" s="38">
        <f t="shared" si="1"/>
        <v>14907.879699577126</v>
      </c>
      <c r="H6" s="112">
        <f t="shared" si="2"/>
        <v>9.6096451910453347</v>
      </c>
    </row>
    <row r="7" spans="1:8" x14ac:dyDescent="0.35">
      <c r="A7" s="1" t="s">
        <v>6</v>
      </c>
      <c r="B7" t="str">
        <f t="shared" si="0"/>
        <v>2006</v>
      </c>
      <c r="C7" s="21">
        <v>14681</v>
      </c>
      <c r="D7" s="6">
        <v>2006</v>
      </c>
      <c r="E7">
        <v>6</v>
      </c>
      <c r="F7" s="30">
        <v>0.96778361364008814</v>
      </c>
      <c r="G7" s="38">
        <f t="shared" si="1"/>
        <v>15169.71334612797</v>
      </c>
      <c r="H7" s="112">
        <f t="shared" si="2"/>
        <v>9.6270561760617355</v>
      </c>
    </row>
    <row r="8" spans="1:8" x14ac:dyDescent="0.35">
      <c r="A8" s="1" t="s">
        <v>7</v>
      </c>
      <c r="B8" t="str">
        <f t="shared" si="0"/>
        <v>2006</v>
      </c>
      <c r="C8" s="21">
        <v>16174</v>
      </c>
      <c r="D8" s="6">
        <v>2006</v>
      </c>
      <c r="E8">
        <v>7</v>
      </c>
      <c r="F8" s="30">
        <v>1.0471910079749045</v>
      </c>
      <c r="G8" s="38">
        <f t="shared" si="1"/>
        <v>15445.128803462379</v>
      </c>
      <c r="H8" s="112">
        <f t="shared" si="2"/>
        <v>9.6450489448104548</v>
      </c>
    </row>
    <row r="9" spans="1:8" x14ac:dyDescent="0.35">
      <c r="A9" s="1" t="s">
        <v>8</v>
      </c>
      <c r="B9" t="str">
        <f t="shared" si="0"/>
        <v>2006</v>
      </c>
      <c r="C9" s="21">
        <v>15225</v>
      </c>
      <c r="D9" s="6">
        <v>2006</v>
      </c>
      <c r="E9">
        <v>8</v>
      </c>
      <c r="F9" s="30">
        <v>1.0057927338780821</v>
      </c>
      <c r="G9" s="38">
        <f t="shared" si="1"/>
        <v>15137.313570854956</v>
      </c>
      <c r="H9" s="112">
        <f t="shared" si="2"/>
        <v>9.6249180720698995</v>
      </c>
    </row>
    <row r="10" spans="1:8" x14ac:dyDescent="0.35">
      <c r="A10" s="1" t="s">
        <v>177</v>
      </c>
      <c r="B10" t="str">
        <f t="shared" si="0"/>
        <v>2006</v>
      </c>
      <c r="C10" s="21">
        <v>16271</v>
      </c>
      <c r="D10" s="6">
        <v>2006</v>
      </c>
      <c r="E10">
        <v>9</v>
      </c>
      <c r="F10" s="30">
        <v>1.0311404366997561</v>
      </c>
      <c r="G10" s="38">
        <f t="shared" si="1"/>
        <v>15779.615870828015</v>
      </c>
      <c r="H10" s="112">
        <f t="shared" si="2"/>
        <v>9.6664742513170108</v>
      </c>
    </row>
    <row r="11" spans="1:8" x14ac:dyDescent="0.35">
      <c r="A11" s="1" t="s">
        <v>9</v>
      </c>
      <c r="B11" t="str">
        <f t="shared" si="0"/>
        <v>2006</v>
      </c>
      <c r="C11" s="21">
        <v>15720</v>
      </c>
      <c r="D11" s="6">
        <v>2006</v>
      </c>
      <c r="E11">
        <v>10</v>
      </c>
      <c r="F11" s="30">
        <v>0.99647151229008235</v>
      </c>
      <c r="G11" s="38">
        <f t="shared" si="1"/>
        <v>15775.664237377374</v>
      </c>
      <c r="H11" s="112">
        <f t="shared" si="2"/>
        <v>9.6662237934882249</v>
      </c>
    </row>
    <row r="12" spans="1:8" x14ac:dyDescent="0.35">
      <c r="A12" s="1" t="s">
        <v>10</v>
      </c>
      <c r="B12" t="str">
        <f t="shared" si="0"/>
        <v>2006</v>
      </c>
      <c r="C12" s="21">
        <v>15426</v>
      </c>
      <c r="D12" s="6">
        <v>2006</v>
      </c>
      <c r="E12">
        <v>11</v>
      </c>
      <c r="F12" s="30">
        <v>0.99924985141460465</v>
      </c>
      <c r="G12" s="38">
        <f t="shared" si="1"/>
        <v>15437.580479158367</v>
      </c>
      <c r="H12" s="112">
        <f t="shared" si="2"/>
        <v>9.6445601065815776</v>
      </c>
    </row>
    <row r="13" spans="1:8" x14ac:dyDescent="0.35">
      <c r="A13" s="1" t="s">
        <v>11</v>
      </c>
      <c r="B13" t="str">
        <f t="shared" si="0"/>
        <v>2006</v>
      </c>
      <c r="C13" s="21">
        <v>16092</v>
      </c>
      <c r="D13" s="6">
        <v>2006</v>
      </c>
      <c r="E13">
        <v>12</v>
      </c>
      <c r="F13" s="30">
        <v>1.0121735261994504</v>
      </c>
      <c r="G13" s="38">
        <f t="shared" si="1"/>
        <v>15898.459684499834</v>
      </c>
      <c r="H13" s="112">
        <f t="shared" si="2"/>
        <v>9.6739775083269297</v>
      </c>
    </row>
    <row r="14" spans="1:8" x14ac:dyDescent="0.35">
      <c r="A14" s="1" t="s">
        <v>12</v>
      </c>
      <c r="B14" t="str">
        <f t="shared" si="0"/>
        <v>2006</v>
      </c>
      <c r="C14" s="21">
        <v>15483</v>
      </c>
      <c r="D14" s="6">
        <v>2006</v>
      </c>
      <c r="E14">
        <v>13</v>
      </c>
      <c r="F14" s="30">
        <v>0.98079097156469441</v>
      </c>
      <c r="G14" s="38">
        <f t="shared" si="1"/>
        <v>15786.238300398873</v>
      </c>
      <c r="H14" s="112">
        <f t="shared" si="2"/>
        <v>9.6668938458340534</v>
      </c>
    </row>
    <row r="15" spans="1:8" x14ac:dyDescent="0.35">
      <c r="A15" s="1" t="s">
        <v>13</v>
      </c>
      <c r="B15" t="str">
        <f t="shared" si="0"/>
        <v>2006</v>
      </c>
      <c r="C15" s="21">
        <v>16382</v>
      </c>
      <c r="D15" s="6">
        <v>2006</v>
      </c>
      <c r="E15">
        <v>14</v>
      </c>
      <c r="F15" s="30">
        <v>1.0323394347969677</v>
      </c>
      <c r="G15" s="38">
        <f t="shared" si="1"/>
        <v>15868.811601895148</v>
      </c>
      <c r="H15" s="112">
        <f t="shared" si="2"/>
        <v>9.6721109274081254</v>
      </c>
    </row>
    <row r="16" spans="1:8" x14ac:dyDescent="0.35">
      <c r="A16" s="1" t="s">
        <v>14</v>
      </c>
      <c r="B16" t="str">
        <f t="shared" si="0"/>
        <v>2006</v>
      </c>
      <c r="C16" s="21">
        <v>16252</v>
      </c>
      <c r="D16" s="6">
        <v>2006</v>
      </c>
      <c r="E16">
        <v>15</v>
      </c>
      <c r="F16" s="30">
        <v>0.9922802514367296</v>
      </c>
      <c r="G16" s="38">
        <f t="shared" si="1"/>
        <v>16378.43741873187</v>
      </c>
      <c r="H16" s="112">
        <f t="shared" si="2"/>
        <v>9.703720957174788</v>
      </c>
    </row>
    <row r="17" spans="1:8" x14ac:dyDescent="0.35">
      <c r="A17" s="1" t="s">
        <v>15</v>
      </c>
      <c r="B17" t="str">
        <f t="shared" si="0"/>
        <v>2006</v>
      </c>
      <c r="C17" s="21">
        <v>18055</v>
      </c>
      <c r="D17" s="6">
        <v>2006</v>
      </c>
      <c r="E17">
        <v>16</v>
      </c>
      <c r="F17" s="30">
        <v>1.1073678838309451</v>
      </c>
      <c r="G17" s="38">
        <f t="shared" si="1"/>
        <v>16304.428061917988</v>
      </c>
      <c r="H17" s="112">
        <f t="shared" si="2"/>
        <v>9.6991920101422586</v>
      </c>
    </row>
    <row r="18" spans="1:8" x14ac:dyDescent="0.35">
      <c r="A18" s="1" t="s">
        <v>16</v>
      </c>
      <c r="B18" t="str">
        <f t="shared" si="0"/>
        <v>2007</v>
      </c>
      <c r="C18" s="21">
        <v>16985</v>
      </c>
      <c r="D18" s="6">
        <v>2007</v>
      </c>
      <c r="E18">
        <v>17</v>
      </c>
      <c r="F18" s="30">
        <v>1.0234185080278571</v>
      </c>
      <c r="G18" s="38">
        <f t="shared" si="1"/>
        <v>16596.338513293405</v>
      </c>
      <c r="H18" s="112">
        <f t="shared" si="2"/>
        <v>9.7169373785268167</v>
      </c>
    </row>
    <row r="19" spans="1:8" x14ac:dyDescent="0.35">
      <c r="A19" s="1" t="s">
        <v>17</v>
      </c>
      <c r="B19" t="str">
        <f t="shared" si="0"/>
        <v>2007</v>
      </c>
      <c r="C19" s="21">
        <v>15822</v>
      </c>
      <c r="D19" s="6">
        <v>2007</v>
      </c>
      <c r="E19">
        <v>18</v>
      </c>
      <c r="F19" s="30">
        <v>0.96778361364008814</v>
      </c>
      <c r="G19" s="38">
        <f t="shared" si="1"/>
        <v>16348.695903714784</v>
      </c>
      <c r="H19" s="112">
        <f t="shared" si="2"/>
        <v>9.7019034119036167</v>
      </c>
    </row>
    <row r="20" spans="1:8" x14ac:dyDescent="0.35">
      <c r="A20" s="1" t="s">
        <v>18</v>
      </c>
      <c r="B20" t="str">
        <f t="shared" si="0"/>
        <v>2007</v>
      </c>
      <c r="C20" s="21">
        <v>17258</v>
      </c>
      <c r="D20" s="6">
        <v>2007</v>
      </c>
      <c r="E20">
        <v>19</v>
      </c>
      <c r="F20" s="30">
        <v>1.0471910079749045</v>
      </c>
      <c r="G20" s="38">
        <f t="shared" si="1"/>
        <v>16480.279021278209</v>
      </c>
      <c r="H20" s="112">
        <f t="shared" si="2"/>
        <v>9.7099197342229413</v>
      </c>
    </row>
    <row r="21" spans="1:8" x14ac:dyDescent="0.35">
      <c r="A21" s="1" t="s">
        <v>19</v>
      </c>
      <c r="B21" t="str">
        <f t="shared" si="0"/>
        <v>2007</v>
      </c>
      <c r="C21" s="21">
        <v>16532</v>
      </c>
      <c r="D21" s="6">
        <v>2007</v>
      </c>
      <c r="E21">
        <v>20</v>
      </c>
      <c r="F21" s="30">
        <v>1.0057927338780821</v>
      </c>
      <c r="G21" s="38">
        <f t="shared" si="1"/>
        <v>16436.786072471208</v>
      </c>
      <c r="H21" s="112">
        <f t="shared" si="2"/>
        <v>9.7072771551234247</v>
      </c>
    </row>
    <row r="22" spans="1:8" x14ac:dyDescent="0.35">
      <c r="A22" s="1" t="s">
        <v>178</v>
      </c>
      <c r="B22" t="str">
        <f t="shared" si="0"/>
        <v>2007</v>
      </c>
      <c r="C22" s="21">
        <v>17279</v>
      </c>
      <c r="D22" s="6">
        <v>2007</v>
      </c>
      <c r="E22">
        <v>21</v>
      </c>
      <c r="F22" s="30">
        <v>1.0311404366997561</v>
      </c>
      <c r="G22" s="38">
        <f t="shared" si="1"/>
        <v>16757.174275215861</v>
      </c>
      <c r="H22" s="112">
        <f t="shared" si="2"/>
        <v>9.7265817604908129</v>
      </c>
    </row>
    <row r="23" spans="1:8" x14ac:dyDescent="0.35">
      <c r="A23" s="1" t="s">
        <v>20</v>
      </c>
      <c r="B23" t="str">
        <f t="shared" si="0"/>
        <v>2007</v>
      </c>
      <c r="C23" s="21">
        <v>16497</v>
      </c>
      <c r="D23" s="6">
        <v>2007</v>
      </c>
      <c r="E23">
        <v>22</v>
      </c>
      <c r="F23" s="30">
        <v>0.99647151229008235</v>
      </c>
      <c r="G23" s="38">
        <f t="shared" si="1"/>
        <v>16555.415580408047</v>
      </c>
      <c r="H23" s="112">
        <f t="shared" si="2"/>
        <v>9.7144685526809518</v>
      </c>
    </row>
    <row r="24" spans="1:8" x14ac:dyDescent="0.35">
      <c r="A24" s="1" t="s">
        <v>21</v>
      </c>
      <c r="B24" t="str">
        <f t="shared" si="0"/>
        <v>2007</v>
      </c>
      <c r="C24" s="21">
        <v>16542</v>
      </c>
      <c r="D24" s="6">
        <v>2007</v>
      </c>
      <c r="E24">
        <v>23</v>
      </c>
      <c r="F24" s="30">
        <v>0.99924985141460465</v>
      </c>
      <c r="G24" s="38">
        <f t="shared" si="1"/>
        <v>16554.418273449872</v>
      </c>
      <c r="H24" s="112">
        <f t="shared" si="2"/>
        <v>9.7144083103394845</v>
      </c>
    </row>
    <row r="25" spans="1:8" x14ac:dyDescent="0.35">
      <c r="A25" s="1" t="s">
        <v>22</v>
      </c>
      <c r="B25" t="str">
        <f t="shared" si="0"/>
        <v>2007</v>
      </c>
      <c r="C25" s="21">
        <v>16992</v>
      </c>
      <c r="D25" s="6">
        <v>2007</v>
      </c>
      <c r="E25">
        <v>24</v>
      </c>
      <c r="F25" s="30">
        <v>1.0121735261994504</v>
      </c>
      <c r="G25" s="38">
        <f t="shared" si="1"/>
        <v>16787.635282066938</v>
      </c>
      <c r="H25" s="112">
        <f t="shared" si="2"/>
        <v>9.7283978992989155</v>
      </c>
    </row>
    <row r="26" spans="1:8" x14ac:dyDescent="0.35">
      <c r="A26" s="1" t="s">
        <v>23</v>
      </c>
      <c r="B26" t="str">
        <f t="shared" si="0"/>
        <v>2007</v>
      </c>
      <c r="C26" s="21">
        <v>15966</v>
      </c>
      <c r="D26" s="6">
        <v>2007</v>
      </c>
      <c r="E26">
        <v>25</v>
      </c>
      <c r="F26" s="30">
        <v>0.98079097156469441</v>
      </c>
      <c r="G26" s="38">
        <f t="shared" si="1"/>
        <v>16278.69797223848</v>
      </c>
      <c r="H26" s="112">
        <f t="shared" si="2"/>
        <v>9.6976126592229619</v>
      </c>
    </row>
    <row r="27" spans="1:8" x14ac:dyDescent="0.35">
      <c r="A27" s="1" t="s">
        <v>24</v>
      </c>
      <c r="B27" t="str">
        <f t="shared" si="0"/>
        <v>2007</v>
      </c>
      <c r="C27" s="21">
        <v>17264</v>
      </c>
      <c r="D27" s="6">
        <v>2007</v>
      </c>
      <c r="E27">
        <v>26</v>
      </c>
      <c r="F27" s="30">
        <v>1.0323394347969677</v>
      </c>
      <c r="G27" s="38">
        <f t="shared" si="1"/>
        <v>16723.181754066525</v>
      </c>
      <c r="H27" s="112">
        <f t="shared" si="2"/>
        <v>9.7245511648304941</v>
      </c>
    </row>
    <row r="28" spans="1:8" x14ac:dyDescent="0.35">
      <c r="A28" s="1" t="s">
        <v>25</v>
      </c>
      <c r="B28" t="str">
        <f t="shared" si="0"/>
        <v>2007</v>
      </c>
      <c r="C28" s="21">
        <v>16713</v>
      </c>
      <c r="D28" s="6">
        <v>2007</v>
      </c>
      <c r="E28">
        <v>27</v>
      </c>
      <c r="F28" s="30">
        <v>0.9922802514367296</v>
      </c>
      <c r="G28" s="38">
        <f t="shared" si="1"/>
        <v>16843.023909627474</v>
      </c>
      <c r="H28" s="112">
        <f t="shared" si="2"/>
        <v>9.7316918387560953</v>
      </c>
    </row>
    <row r="29" spans="1:8" x14ac:dyDescent="0.35">
      <c r="A29" s="1" t="s">
        <v>26</v>
      </c>
      <c r="B29" t="str">
        <f t="shared" si="0"/>
        <v>2007</v>
      </c>
      <c r="C29" s="21">
        <v>18434</v>
      </c>
      <c r="D29" s="6">
        <v>2007</v>
      </c>
      <c r="E29">
        <v>28</v>
      </c>
      <c r="F29" s="30">
        <v>1.1073678838309451</v>
      </c>
      <c r="G29" s="38">
        <f t="shared" si="1"/>
        <v>16646.681079667473</v>
      </c>
      <c r="H29" s="112">
        <f t="shared" si="2"/>
        <v>9.7199661409843117</v>
      </c>
    </row>
    <row r="30" spans="1:8" x14ac:dyDescent="0.35">
      <c r="A30" s="1" t="s">
        <v>27</v>
      </c>
      <c r="B30" t="str">
        <f t="shared" si="0"/>
        <v>2008</v>
      </c>
      <c r="C30" s="21">
        <v>17449</v>
      </c>
      <c r="D30" s="6">
        <v>2008</v>
      </c>
      <c r="E30">
        <v>29</v>
      </c>
      <c r="F30" s="30">
        <v>1.0234185080278571</v>
      </c>
      <c r="G30" s="38">
        <f t="shared" si="1"/>
        <v>17049.720972532035</v>
      </c>
      <c r="H30" s="112">
        <f t="shared" si="2"/>
        <v>9.7438891173303634</v>
      </c>
    </row>
    <row r="31" spans="1:8" x14ac:dyDescent="0.35">
      <c r="A31" s="1" t="s">
        <v>28</v>
      </c>
      <c r="B31" t="str">
        <f t="shared" si="0"/>
        <v>2008</v>
      </c>
      <c r="C31" s="21">
        <v>17201</v>
      </c>
      <c r="D31" s="6">
        <v>2008</v>
      </c>
      <c r="E31">
        <v>30</v>
      </c>
      <c r="F31" s="30">
        <v>0.96778361364008814</v>
      </c>
      <c r="G31" s="38">
        <f t="shared" si="1"/>
        <v>17773.601203374921</v>
      </c>
      <c r="H31" s="112">
        <f t="shared" si="2"/>
        <v>9.7854695569686658</v>
      </c>
    </row>
    <row r="32" spans="1:8" x14ac:dyDescent="0.35">
      <c r="A32" s="1" t="s">
        <v>29</v>
      </c>
      <c r="B32" t="str">
        <f t="shared" si="0"/>
        <v>2008</v>
      </c>
      <c r="C32" s="21">
        <v>17719</v>
      </c>
      <c r="D32" s="6">
        <v>2008</v>
      </c>
      <c r="E32">
        <v>31</v>
      </c>
      <c r="F32" s="30">
        <v>1.0471910079749045</v>
      </c>
      <c r="G32" s="38">
        <f t="shared" si="1"/>
        <v>16920.504344537523</v>
      </c>
      <c r="H32" s="112">
        <f t="shared" si="2"/>
        <v>9.7362814403127569</v>
      </c>
    </row>
    <row r="33" spans="1:8" x14ac:dyDescent="0.35">
      <c r="A33" s="1" t="s">
        <v>30</v>
      </c>
      <c r="B33" t="str">
        <f t="shared" si="0"/>
        <v>2008</v>
      </c>
      <c r="C33" s="21">
        <v>17143</v>
      </c>
      <c r="D33" s="6">
        <v>2008</v>
      </c>
      <c r="E33">
        <v>32</v>
      </c>
      <c r="F33" s="30">
        <v>1.0057927338780821</v>
      </c>
      <c r="G33" s="38">
        <f t="shared" si="1"/>
        <v>17044.26709656266</v>
      </c>
      <c r="H33" s="112">
        <f t="shared" si="2"/>
        <v>9.7435691854992825</v>
      </c>
    </row>
    <row r="34" spans="1:8" x14ac:dyDescent="0.35">
      <c r="A34" s="1" t="s">
        <v>179</v>
      </c>
      <c r="B34" t="str">
        <f t="shared" ref="B34:B65" si="3">MID(A34,6,4)</f>
        <v>2008</v>
      </c>
      <c r="C34" s="21">
        <v>17871</v>
      </c>
      <c r="D34" s="6">
        <v>2008</v>
      </c>
      <c r="E34">
        <v>33</v>
      </c>
      <c r="F34" s="30">
        <v>1.0311404366997561</v>
      </c>
      <c r="G34" s="38">
        <f t="shared" si="1"/>
        <v>17331.295877792847</v>
      </c>
      <c r="H34" s="112">
        <f t="shared" si="2"/>
        <v>9.7602691564744877</v>
      </c>
    </row>
    <row r="35" spans="1:8" x14ac:dyDescent="0.35">
      <c r="A35" s="1" t="s">
        <v>31</v>
      </c>
      <c r="B35" t="str">
        <f t="shared" si="3"/>
        <v>2008</v>
      </c>
      <c r="C35" s="21">
        <v>17038</v>
      </c>
      <c r="D35" s="6">
        <v>2008</v>
      </c>
      <c r="E35">
        <v>34</v>
      </c>
      <c r="F35" s="30">
        <v>0.99647151229008235</v>
      </c>
      <c r="G35" s="38">
        <f t="shared" si="1"/>
        <v>17098.331251681659</v>
      </c>
      <c r="H35" s="112">
        <f t="shared" si="2"/>
        <v>9.7467361501078145</v>
      </c>
    </row>
    <row r="36" spans="1:8" x14ac:dyDescent="0.35">
      <c r="A36" s="1" t="s">
        <v>32</v>
      </c>
      <c r="B36" t="str">
        <f t="shared" si="3"/>
        <v>2008</v>
      </c>
      <c r="C36" s="21">
        <v>17413</v>
      </c>
      <c r="D36" s="6">
        <v>2008</v>
      </c>
      <c r="E36">
        <v>35</v>
      </c>
      <c r="F36" s="30">
        <v>0.99924985141460465</v>
      </c>
      <c r="G36" s="38">
        <f t="shared" si="1"/>
        <v>17426.072143367343</v>
      </c>
      <c r="H36" s="112">
        <f t="shared" si="2"/>
        <v>9.765722762767016</v>
      </c>
    </row>
    <row r="37" spans="1:8" x14ac:dyDescent="0.35">
      <c r="A37" s="1" t="s">
        <v>33</v>
      </c>
      <c r="B37" t="str">
        <f t="shared" si="3"/>
        <v>2008</v>
      </c>
      <c r="C37" s="21">
        <v>17200</v>
      </c>
      <c r="D37" s="6">
        <v>2008</v>
      </c>
      <c r="E37">
        <v>36</v>
      </c>
      <c r="F37" s="30">
        <v>1.0121735261994504</v>
      </c>
      <c r="G37" s="38">
        <f t="shared" si="1"/>
        <v>16993.133642393561</v>
      </c>
      <c r="H37" s="112">
        <f t="shared" si="2"/>
        <v>9.7405646380587942</v>
      </c>
    </row>
    <row r="38" spans="1:8" x14ac:dyDescent="0.35">
      <c r="A38" s="1" t="s">
        <v>34</v>
      </c>
      <c r="B38" t="str">
        <f t="shared" si="3"/>
        <v>2008</v>
      </c>
      <c r="C38" s="21">
        <v>17176</v>
      </c>
      <c r="D38" s="6">
        <v>2008</v>
      </c>
      <c r="E38">
        <v>37</v>
      </c>
      <c r="F38" s="30">
        <v>0.98079097156469441</v>
      </c>
      <c r="G38" s="38">
        <f t="shared" si="1"/>
        <v>17512.396114942261</v>
      </c>
      <c r="H38" s="112">
        <f t="shared" si="2"/>
        <v>9.7706642585758345</v>
      </c>
    </row>
    <row r="39" spans="1:8" x14ac:dyDescent="0.35">
      <c r="A39" s="1" t="s">
        <v>35</v>
      </c>
      <c r="B39" t="str">
        <f t="shared" si="3"/>
        <v>2008</v>
      </c>
      <c r="C39" s="21">
        <v>18019</v>
      </c>
      <c r="D39" s="6">
        <v>2008</v>
      </c>
      <c r="E39">
        <v>38</v>
      </c>
      <c r="F39" s="30">
        <v>1.0323394347969677</v>
      </c>
      <c r="G39" s="38">
        <f t="shared" si="1"/>
        <v>17454.530353714363</v>
      </c>
      <c r="H39" s="112">
        <f t="shared" si="2"/>
        <v>9.7673545130593933</v>
      </c>
    </row>
    <row r="40" spans="1:8" x14ac:dyDescent="0.35">
      <c r="A40" s="1" t="s">
        <v>36</v>
      </c>
      <c r="B40" t="str">
        <f t="shared" si="3"/>
        <v>2008</v>
      </c>
      <c r="C40" s="21">
        <v>16975</v>
      </c>
      <c r="D40" s="6">
        <v>2008</v>
      </c>
      <c r="E40">
        <v>39</v>
      </c>
      <c r="F40" s="30">
        <v>0.9922802514367296</v>
      </c>
      <c r="G40" s="38">
        <f t="shared" si="1"/>
        <v>17107.062218986801</v>
      </c>
      <c r="H40" s="112">
        <f t="shared" si="2"/>
        <v>9.7472466524940682</v>
      </c>
    </row>
    <row r="41" spans="1:8" x14ac:dyDescent="0.35">
      <c r="A41" s="1" t="s">
        <v>37</v>
      </c>
      <c r="B41" t="str">
        <f t="shared" si="3"/>
        <v>2008</v>
      </c>
      <c r="C41" s="21">
        <v>19653</v>
      </c>
      <c r="D41" s="6">
        <v>2008</v>
      </c>
      <c r="E41">
        <v>40</v>
      </c>
      <c r="F41" s="30">
        <v>1.1073678838309451</v>
      </c>
      <c r="G41" s="38">
        <f t="shared" si="1"/>
        <v>17747.489598497603</v>
      </c>
      <c r="H41" s="112">
        <f t="shared" si="2"/>
        <v>9.7839993538306871</v>
      </c>
    </row>
    <row r="42" spans="1:8" x14ac:dyDescent="0.35">
      <c r="A42" s="1" t="s">
        <v>38</v>
      </c>
      <c r="B42" t="str">
        <f t="shared" si="3"/>
        <v>2009</v>
      </c>
      <c r="C42" s="21">
        <v>17741</v>
      </c>
      <c r="D42" s="6">
        <v>2009</v>
      </c>
      <c r="E42">
        <v>41</v>
      </c>
      <c r="F42" s="30">
        <v>1.0234185080278571</v>
      </c>
      <c r="G42" s="38">
        <f t="shared" si="1"/>
        <v>17335.039244294276</v>
      </c>
      <c r="H42" s="112">
        <f t="shared" si="2"/>
        <v>9.7604851219927813</v>
      </c>
    </row>
    <row r="43" spans="1:8" x14ac:dyDescent="0.35">
      <c r="A43" s="1" t="s">
        <v>39</v>
      </c>
      <c r="B43" t="str">
        <f t="shared" si="3"/>
        <v>2009</v>
      </c>
      <c r="C43" s="21">
        <v>17028</v>
      </c>
      <c r="D43" s="6">
        <v>2009</v>
      </c>
      <c r="E43">
        <v>42</v>
      </c>
      <c r="F43" s="30">
        <v>0.96778361364008814</v>
      </c>
      <c r="G43" s="38">
        <f t="shared" si="1"/>
        <v>17594.842235397253</v>
      </c>
      <c r="H43" s="112">
        <f t="shared" si="2"/>
        <v>9.7753610832703171</v>
      </c>
    </row>
    <row r="44" spans="1:8" x14ac:dyDescent="0.35">
      <c r="A44" s="1" t="s">
        <v>40</v>
      </c>
      <c r="B44" t="str">
        <f t="shared" si="3"/>
        <v>2009</v>
      </c>
      <c r="C44" s="21">
        <v>18501</v>
      </c>
      <c r="D44" s="6">
        <v>2009</v>
      </c>
      <c r="E44">
        <v>43</v>
      </c>
      <c r="F44" s="30">
        <v>1.0471910079749045</v>
      </c>
      <c r="G44" s="38">
        <f t="shared" si="1"/>
        <v>17667.264003515364</v>
      </c>
      <c r="H44" s="112">
        <f t="shared" si="2"/>
        <v>9.7794687148142909</v>
      </c>
    </row>
    <row r="45" spans="1:8" x14ac:dyDescent="0.35">
      <c r="A45" s="1" t="s">
        <v>41</v>
      </c>
      <c r="B45" t="str">
        <f t="shared" si="3"/>
        <v>2009</v>
      </c>
      <c r="C45" s="21">
        <v>18226</v>
      </c>
      <c r="D45" s="6">
        <v>2009</v>
      </c>
      <c r="E45">
        <v>44</v>
      </c>
      <c r="F45" s="30">
        <v>1.0057927338780821</v>
      </c>
      <c r="G45" s="38">
        <f t="shared" si="1"/>
        <v>18121.029697366335</v>
      </c>
      <c r="H45" s="112">
        <f t="shared" si="2"/>
        <v>9.8048284045478731</v>
      </c>
    </row>
    <row r="46" spans="1:8" x14ac:dyDescent="0.35">
      <c r="A46" s="1" t="s">
        <v>180</v>
      </c>
      <c r="B46" t="str">
        <f t="shared" si="3"/>
        <v>2009</v>
      </c>
      <c r="C46" s="21">
        <v>18146</v>
      </c>
      <c r="D46" s="6">
        <v>2009</v>
      </c>
      <c r="E46">
        <v>45</v>
      </c>
      <c r="F46" s="30">
        <v>1.0311404366997561</v>
      </c>
      <c r="G46" s="38">
        <f t="shared" si="1"/>
        <v>17597.990878989931</v>
      </c>
      <c r="H46" s="112">
        <f t="shared" si="2"/>
        <v>9.7755400199072664</v>
      </c>
    </row>
    <row r="47" spans="1:8" x14ac:dyDescent="0.35">
      <c r="A47" s="1" t="s">
        <v>42</v>
      </c>
      <c r="B47" t="str">
        <f t="shared" si="3"/>
        <v>2009</v>
      </c>
      <c r="C47" s="21">
        <v>17944</v>
      </c>
      <c r="D47" s="6">
        <v>2009</v>
      </c>
      <c r="E47">
        <v>46</v>
      </c>
      <c r="F47" s="30">
        <v>0.99647151229008235</v>
      </c>
      <c r="G47" s="38">
        <f t="shared" si="1"/>
        <v>18007.539381393104</v>
      </c>
      <c r="H47" s="112">
        <f t="shared" si="2"/>
        <v>9.798545803705073</v>
      </c>
    </row>
    <row r="48" spans="1:8" x14ac:dyDescent="0.35">
      <c r="A48" s="1" t="s">
        <v>43</v>
      </c>
      <c r="B48" t="str">
        <f t="shared" si="3"/>
        <v>2009</v>
      </c>
      <c r="C48" s="21">
        <v>17957</v>
      </c>
      <c r="D48" s="6">
        <v>2009</v>
      </c>
      <c r="E48">
        <v>47</v>
      </c>
      <c r="F48" s="30">
        <v>0.99924985141460465</v>
      </c>
      <c r="G48" s="38">
        <f t="shared" si="1"/>
        <v>17970.480530548866</v>
      </c>
      <c r="H48" s="112">
        <f t="shared" si="2"/>
        <v>9.7964857201295317</v>
      </c>
    </row>
    <row r="49" spans="1:8" x14ac:dyDescent="0.35">
      <c r="A49" s="1" t="s">
        <v>44</v>
      </c>
      <c r="B49" t="str">
        <f t="shared" si="3"/>
        <v>2009</v>
      </c>
      <c r="C49" s="21">
        <v>17604</v>
      </c>
      <c r="D49" s="6">
        <v>2009</v>
      </c>
      <c r="E49">
        <v>48</v>
      </c>
      <c r="F49" s="30">
        <v>1.0121735261994504</v>
      </c>
      <c r="G49" s="38">
        <f t="shared" si="1"/>
        <v>17392.27468841257</v>
      </c>
      <c r="H49" s="112">
        <f t="shared" si="2"/>
        <v>9.7637814031882328</v>
      </c>
    </row>
    <row r="50" spans="1:8" x14ac:dyDescent="0.35">
      <c r="A50" s="1" t="s">
        <v>45</v>
      </c>
      <c r="B50" t="str">
        <f t="shared" si="3"/>
        <v>2009</v>
      </c>
      <c r="C50" s="21">
        <v>17770</v>
      </c>
      <c r="D50" s="6">
        <v>2009</v>
      </c>
      <c r="E50">
        <v>49</v>
      </c>
      <c r="F50" s="30">
        <v>0.98079097156469441</v>
      </c>
      <c r="G50" s="38">
        <f t="shared" si="1"/>
        <v>18118.029748633209</v>
      </c>
      <c r="H50" s="112">
        <f t="shared" si="2"/>
        <v>9.8046628401659142</v>
      </c>
    </row>
    <row r="51" spans="1:8" x14ac:dyDescent="0.35">
      <c r="A51" s="1" t="s">
        <v>46</v>
      </c>
      <c r="B51" t="str">
        <f t="shared" si="3"/>
        <v>2009</v>
      </c>
      <c r="C51" s="21">
        <v>18492</v>
      </c>
      <c r="D51" s="6">
        <v>2009</v>
      </c>
      <c r="E51">
        <v>50</v>
      </c>
      <c r="F51" s="30">
        <v>1.0323394347969677</v>
      </c>
      <c r="G51" s="38">
        <f t="shared" si="1"/>
        <v>17912.712986341416</v>
      </c>
      <c r="H51" s="112">
        <f t="shared" si="2"/>
        <v>9.7932659624406941</v>
      </c>
    </row>
    <row r="52" spans="1:8" x14ac:dyDescent="0.35">
      <c r="A52" s="1" t="s">
        <v>47</v>
      </c>
      <c r="B52" t="str">
        <f t="shared" si="3"/>
        <v>2009</v>
      </c>
      <c r="C52" s="21">
        <v>17784</v>
      </c>
      <c r="D52" s="6">
        <v>2009</v>
      </c>
      <c r="E52">
        <v>51</v>
      </c>
      <c r="F52" s="30">
        <v>0.9922802514367296</v>
      </c>
      <c r="G52" s="38">
        <f t="shared" si="1"/>
        <v>17922.356082619219</v>
      </c>
      <c r="H52" s="112">
        <f t="shared" si="2"/>
        <v>9.7938041557112037</v>
      </c>
    </row>
    <row r="53" spans="1:8" x14ac:dyDescent="0.35">
      <c r="A53" s="1" t="s">
        <v>48</v>
      </c>
      <c r="B53" t="str">
        <f t="shared" si="3"/>
        <v>2009</v>
      </c>
      <c r="C53" s="21">
        <v>20067</v>
      </c>
      <c r="D53" s="6">
        <v>2009</v>
      </c>
      <c r="E53">
        <v>52</v>
      </c>
      <c r="F53" s="30">
        <v>1.1073678838309451</v>
      </c>
      <c r="G53" s="38">
        <f t="shared" si="1"/>
        <v>18121.34909545878</v>
      </c>
      <c r="H53" s="112">
        <f t="shared" si="2"/>
        <v>9.8048460302172185</v>
      </c>
    </row>
    <row r="54" spans="1:8" x14ac:dyDescent="0.35">
      <c r="A54" s="2" t="s">
        <v>49</v>
      </c>
      <c r="B54" t="str">
        <f t="shared" si="3"/>
        <v>2010</v>
      </c>
      <c r="C54" s="22">
        <v>17874</v>
      </c>
      <c r="D54" s="6">
        <v>2010</v>
      </c>
      <c r="E54">
        <v>53</v>
      </c>
      <c r="F54" s="30">
        <v>1.0234185080278571</v>
      </c>
      <c r="G54" s="38">
        <f t="shared" si="1"/>
        <v>17464.995854377765</v>
      </c>
      <c r="H54" s="112">
        <f t="shared" si="2"/>
        <v>9.7679539198734702</v>
      </c>
    </row>
    <row r="55" spans="1:8" x14ac:dyDescent="0.35">
      <c r="A55" s="2" t="s">
        <v>50</v>
      </c>
      <c r="B55" t="str">
        <f t="shared" si="3"/>
        <v>2010</v>
      </c>
      <c r="C55" s="22">
        <v>17171</v>
      </c>
      <c r="D55" s="6">
        <v>2010</v>
      </c>
      <c r="E55">
        <v>54</v>
      </c>
      <c r="F55" s="30">
        <v>0.96778361364008814</v>
      </c>
      <c r="G55" s="38">
        <f t="shared" si="1"/>
        <v>17742.602538407697</v>
      </c>
      <c r="H55" s="112">
        <f t="shared" si="2"/>
        <v>9.7837239496360784</v>
      </c>
    </row>
    <row r="56" spans="1:8" x14ac:dyDescent="0.35">
      <c r="A56" s="2" t="s">
        <v>51</v>
      </c>
      <c r="B56" t="str">
        <f t="shared" si="3"/>
        <v>2010</v>
      </c>
      <c r="C56" s="22">
        <v>19214</v>
      </c>
      <c r="D56" s="6">
        <v>2010</v>
      </c>
      <c r="E56">
        <v>55</v>
      </c>
      <c r="F56" s="30">
        <v>1.0471910079749045</v>
      </c>
      <c r="G56" s="38">
        <f t="shared" si="1"/>
        <v>18348.1331043481</v>
      </c>
      <c r="H56" s="112">
        <f t="shared" si="2"/>
        <v>9.8172831101243716</v>
      </c>
    </row>
    <row r="57" spans="1:8" x14ac:dyDescent="0.35">
      <c r="A57" s="2" t="s">
        <v>52</v>
      </c>
      <c r="B57" t="str">
        <f t="shared" si="3"/>
        <v>2010</v>
      </c>
      <c r="C57" s="22">
        <v>18340</v>
      </c>
      <c r="D57" s="6">
        <v>2010</v>
      </c>
      <c r="E57">
        <v>56</v>
      </c>
      <c r="F57" s="30">
        <v>1.0057927338780821</v>
      </c>
      <c r="G57" s="38">
        <f t="shared" si="1"/>
        <v>18234.373129029878</v>
      </c>
      <c r="H57" s="112">
        <f t="shared" si="2"/>
        <v>9.8110637253022563</v>
      </c>
    </row>
    <row r="58" spans="1:8" x14ac:dyDescent="0.35">
      <c r="A58" s="3" t="s">
        <v>181</v>
      </c>
      <c r="B58" t="str">
        <f t="shared" si="3"/>
        <v>2010</v>
      </c>
      <c r="C58" s="22">
        <v>18295</v>
      </c>
      <c r="D58" s="6">
        <v>2010</v>
      </c>
      <c r="E58">
        <v>57</v>
      </c>
      <c r="F58" s="30">
        <v>1.0311404366997561</v>
      </c>
      <c r="G58" s="38">
        <f t="shared" si="1"/>
        <v>17742.49107963853</v>
      </c>
      <c r="H58" s="112">
        <f t="shared" si="2"/>
        <v>9.7837176676309987</v>
      </c>
    </row>
    <row r="59" spans="1:8" x14ac:dyDescent="0.35">
      <c r="A59" s="2" t="s">
        <v>53</v>
      </c>
      <c r="B59" t="str">
        <f t="shared" si="3"/>
        <v>2010</v>
      </c>
      <c r="C59" s="22">
        <v>18372</v>
      </c>
      <c r="D59" s="6">
        <v>2010</v>
      </c>
      <c r="E59">
        <v>58</v>
      </c>
      <c r="F59" s="30">
        <v>0.99647151229008235</v>
      </c>
      <c r="G59" s="38">
        <f t="shared" si="1"/>
        <v>18437.054921698291</v>
      </c>
      <c r="H59" s="112">
        <f t="shared" si="2"/>
        <v>9.8221177729507119</v>
      </c>
    </row>
    <row r="60" spans="1:8" x14ac:dyDescent="0.35">
      <c r="A60" s="2" t="s">
        <v>54</v>
      </c>
      <c r="B60" t="str">
        <f t="shared" si="3"/>
        <v>2010</v>
      </c>
      <c r="C60" s="22">
        <v>18170</v>
      </c>
      <c r="D60" s="6">
        <v>2010</v>
      </c>
      <c r="E60">
        <v>59</v>
      </c>
      <c r="F60" s="30">
        <v>0.99924985141460465</v>
      </c>
      <c r="G60" s="38">
        <f t="shared" si="1"/>
        <v>18183.640432147513</v>
      </c>
      <c r="H60" s="112">
        <f t="shared" si="2"/>
        <v>9.8082775914778502</v>
      </c>
    </row>
    <row r="61" spans="1:8" x14ac:dyDescent="0.35">
      <c r="A61" s="2" t="s">
        <v>55</v>
      </c>
      <c r="B61" t="str">
        <f t="shared" si="3"/>
        <v>2010</v>
      </c>
      <c r="C61" s="22">
        <v>18328</v>
      </c>
      <c r="D61" s="6">
        <v>2010</v>
      </c>
      <c r="E61">
        <v>60</v>
      </c>
      <c r="F61" s="30">
        <v>1.0121735261994504</v>
      </c>
      <c r="G61" s="38">
        <f t="shared" si="1"/>
        <v>18107.567058010998</v>
      </c>
      <c r="H61" s="112">
        <f t="shared" si="2"/>
        <v>9.8040851993905811</v>
      </c>
    </row>
    <row r="62" spans="1:8" x14ac:dyDescent="0.35">
      <c r="A62" s="2" t="s">
        <v>56</v>
      </c>
      <c r="B62" t="str">
        <f t="shared" si="3"/>
        <v>2010</v>
      </c>
      <c r="C62" s="22">
        <v>18124</v>
      </c>
      <c r="D62" s="6">
        <v>2010</v>
      </c>
      <c r="E62">
        <v>61</v>
      </c>
      <c r="F62" s="30">
        <v>0.98079097156469441</v>
      </c>
      <c r="G62" s="38">
        <f t="shared" si="1"/>
        <v>18478.962924267205</v>
      </c>
      <c r="H62" s="112">
        <f t="shared" si="2"/>
        <v>9.8243882248042453</v>
      </c>
    </row>
    <row r="63" spans="1:8" x14ac:dyDescent="0.35">
      <c r="A63" s="2" t="s">
        <v>57</v>
      </c>
      <c r="B63" t="str">
        <f t="shared" si="3"/>
        <v>2010</v>
      </c>
      <c r="C63" s="22">
        <v>18611</v>
      </c>
      <c r="D63" s="6">
        <v>2010</v>
      </c>
      <c r="E63">
        <v>62</v>
      </c>
      <c r="F63" s="30">
        <v>1.0323394347969677</v>
      </c>
      <c r="G63" s="38">
        <f t="shared" si="1"/>
        <v>18027.985149729619</v>
      </c>
      <c r="H63" s="112">
        <f t="shared" si="2"/>
        <v>9.799680560076542</v>
      </c>
    </row>
    <row r="64" spans="1:8" x14ac:dyDescent="0.35">
      <c r="A64" s="2" t="s">
        <v>58</v>
      </c>
      <c r="B64" t="str">
        <f t="shared" si="3"/>
        <v>2010</v>
      </c>
      <c r="C64" s="22">
        <v>18724</v>
      </c>
      <c r="D64" s="6">
        <v>2010</v>
      </c>
      <c r="E64">
        <v>63</v>
      </c>
      <c r="F64" s="30">
        <v>0.9922802514367296</v>
      </c>
      <c r="G64" s="38">
        <f t="shared" si="1"/>
        <v>18869.669100931304</v>
      </c>
      <c r="H64" s="112">
        <f t="shared" si="2"/>
        <v>9.8453111024871323</v>
      </c>
    </row>
    <row r="65" spans="1:8" x14ac:dyDescent="0.35">
      <c r="A65" s="2" t="s">
        <v>59</v>
      </c>
      <c r="B65" t="str">
        <f t="shared" si="3"/>
        <v>2010</v>
      </c>
      <c r="C65" s="22">
        <v>21007</v>
      </c>
      <c r="D65" s="6">
        <v>2010</v>
      </c>
      <c r="E65">
        <v>64</v>
      </c>
      <c r="F65" s="30">
        <v>1.1073678838309451</v>
      </c>
      <c r="G65" s="38">
        <f t="shared" si="1"/>
        <v>18970.208822858553</v>
      </c>
      <c r="H65" s="112">
        <f t="shared" si="2"/>
        <v>9.8506250709263821</v>
      </c>
    </row>
    <row r="66" spans="1:8" x14ac:dyDescent="0.35">
      <c r="A66" s="2" t="s">
        <v>60</v>
      </c>
      <c r="B66" t="str">
        <f t="shared" ref="B66:B97" si="4">MID(A66,6,4)</f>
        <v>2011</v>
      </c>
      <c r="C66" s="22">
        <v>19155</v>
      </c>
      <c r="D66" s="6">
        <v>2011</v>
      </c>
      <c r="E66">
        <v>65</v>
      </c>
      <c r="F66" s="30">
        <v>1.0234185080278571</v>
      </c>
      <c r="G66" s="38">
        <f t="shared" si="1"/>
        <v>18716.683204129244</v>
      </c>
      <c r="H66" s="112">
        <f t="shared" si="2"/>
        <v>9.8371705550668818</v>
      </c>
    </row>
    <row r="67" spans="1:8" x14ac:dyDescent="0.35">
      <c r="A67" s="2" t="s">
        <v>61</v>
      </c>
      <c r="B67" t="str">
        <f t="shared" si="4"/>
        <v>2011</v>
      </c>
      <c r="C67" s="22">
        <v>18117</v>
      </c>
      <c r="D67" s="6">
        <v>2011</v>
      </c>
      <c r="E67">
        <v>66</v>
      </c>
      <c r="F67" s="30">
        <v>0.96778361364008814</v>
      </c>
      <c r="G67" s="38">
        <f t="shared" ref="G67:G130" si="5">C67/F67</f>
        <v>18720.093773707544</v>
      </c>
      <c r="H67" s="112">
        <f t="shared" ref="H67:H130" si="6">LN(G67)</f>
        <v>9.8373527592982857</v>
      </c>
    </row>
    <row r="68" spans="1:8" x14ac:dyDescent="0.35">
      <c r="A68" s="2" t="s">
        <v>62</v>
      </c>
      <c r="B68" t="str">
        <f t="shared" si="4"/>
        <v>2011</v>
      </c>
      <c r="C68" s="22">
        <v>20042</v>
      </c>
      <c r="D68" s="6">
        <v>2011</v>
      </c>
      <c r="E68">
        <v>67</v>
      </c>
      <c r="F68" s="30">
        <v>1.0471910079749045</v>
      </c>
      <c r="G68" s="38">
        <f t="shared" si="5"/>
        <v>19138.819802089343</v>
      </c>
      <c r="H68" s="112">
        <f t="shared" si="6"/>
        <v>9.8594740017729627</v>
      </c>
    </row>
    <row r="69" spans="1:8" x14ac:dyDescent="0.35">
      <c r="A69" s="2" t="s">
        <v>63</v>
      </c>
      <c r="B69" t="str">
        <f t="shared" si="4"/>
        <v>2011</v>
      </c>
      <c r="C69" s="22">
        <v>18944</v>
      </c>
      <c r="D69" s="6">
        <v>2011</v>
      </c>
      <c r="E69">
        <v>68</v>
      </c>
      <c r="F69" s="30">
        <v>1.0057927338780821</v>
      </c>
      <c r="G69" s="38">
        <f t="shared" si="5"/>
        <v>18834.89446872094</v>
      </c>
      <c r="H69" s="112">
        <f t="shared" si="6"/>
        <v>9.8434665171755338</v>
      </c>
    </row>
    <row r="70" spans="1:8" x14ac:dyDescent="0.35">
      <c r="A70" s="3" t="s">
        <v>182</v>
      </c>
      <c r="B70" t="str">
        <f t="shared" si="4"/>
        <v>2011</v>
      </c>
      <c r="C70" s="22">
        <v>19505</v>
      </c>
      <c r="D70" s="6">
        <v>2011</v>
      </c>
      <c r="E70">
        <v>69</v>
      </c>
      <c r="F70" s="30">
        <v>1.0311404366997561</v>
      </c>
      <c r="G70" s="38">
        <f t="shared" si="5"/>
        <v>18915.949084905686</v>
      </c>
      <c r="H70" s="112">
        <f t="shared" si="6"/>
        <v>9.8477607121184487</v>
      </c>
    </row>
    <row r="71" spans="1:8" x14ac:dyDescent="0.35">
      <c r="A71" s="2" t="s">
        <v>64</v>
      </c>
      <c r="B71" t="str">
        <f t="shared" si="4"/>
        <v>2011</v>
      </c>
      <c r="C71" s="22">
        <v>19081</v>
      </c>
      <c r="D71" s="6">
        <v>2011</v>
      </c>
      <c r="E71">
        <v>70</v>
      </c>
      <c r="F71" s="30">
        <v>0.99647151229008235</v>
      </c>
      <c r="G71" s="38">
        <f t="shared" si="5"/>
        <v>19148.565477951506</v>
      </c>
      <c r="H71" s="112">
        <f t="shared" si="6"/>
        <v>9.8599830820353702</v>
      </c>
    </row>
    <row r="72" spans="1:8" x14ac:dyDescent="0.35">
      <c r="A72" s="2" t="s">
        <v>65</v>
      </c>
      <c r="B72" t="str">
        <f t="shared" si="4"/>
        <v>2011</v>
      </c>
      <c r="C72" s="22">
        <v>18541</v>
      </c>
      <c r="D72" s="6">
        <v>2011</v>
      </c>
      <c r="E72">
        <v>71</v>
      </c>
      <c r="F72" s="30">
        <v>0.99924985141460465</v>
      </c>
      <c r="G72" s="38">
        <f t="shared" si="5"/>
        <v>18554.918946199617</v>
      </c>
      <c r="H72" s="112">
        <f t="shared" si="6"/>
        <v>9.8284902051854868</v>
      </c>
    </row>
    <row r="73" spans="1:8" x14ac:dyDescent="0.35">
      <c r="A73" s="2" t="s">
        <v>66</v>
      </c>
      <c r="B73" t="str">
        <f t="shared" si="4"/>
        <v>2011</v>
      </c>
      <c r="C73" s="22">
        <v>19481</v>
      </c>
      <c r="D73" s="6">
        <v>2011</v>
      </c>
      <c r="E73">
        <v>72</v>
      </c>
      <c r="F73" s="30">
        <v>1.0121735261994504</v>
      </c>
      <c r="G73" s="38">
        <f t="shared" si="5"/>
        <v>19246.699795783075</v>
      </c>
      <c r="H73" s="112">
        <f t="shared" si="6"/>
        <v>9.8650948858384542</v>
      </c>
    </row>
    <row r="74" spans="1:8" x14ac:dyDescent="0.35">
      <c r="A74" s="2" t="s">
        <v>67</v>
      </c>
      <c r="B74" t="str">
        <f t="shared" si="4"/>
        <v>2011</v>
      </c>
      <c r="C74" s="22">
        <v>18845</v>
      </c>
      <c r="D74" s="6">
        <v>2011</v>
      </c>
      <c r="E74">
        <v>73</v>
      </c>
      <c r="F74" s="30">
        <v>0.98079097156469441</v>
      </c>
      <c r="G74" s="38">
        <f t="shared" si="5"/>
        <v>19214.083883679956</v>
      </c>
      <c r="H74" s="112">
        <f t="shared" si="6"/>
        <v>9.8633988247184536</v>
      </c>
    </row>
    <row r="75" spans="1:8" x14ac:dyDescent="0.35">
      <c r="A75" s="2" t="s">
        <v>68</v>
      </c>
      <c r="B75" t="str">
        <f t="shared" si="4"/>
        <v>2011</v>
      </c>
      <c r="C75" s="22">
        <v>19302</v>
      </c>
      <c r="D75" s="6">
        <v>2011</v>
      </c>
      <c r="E75">
        <v>74</v>
      </c>
      <c r="F75" s="30">
        <v>1.0323394347969677</v>
      </c>
      <c r="G75" s="38">
        <f t="shared" si="5"/>
        <v>18697.338636294724</v>
      </c>
      <c r="H75" s="112">
        <f t="shared" si="6"/>
        <v>9.8361364737996588</v>
      </c>
    </row>
    <row r="76" spans="1:8" x14ac:dyDescent="0.35">
      <c r="A76" s="2" t="s">
        <v>69</v>
      </c>
      <c r="B76" t="str">
        <f t="shared" si="4"/>
        <v>2011</v>
      </c>
      <c r="C76" s="22">
        <v>19103</v>
      </c>
      <c r="D76" s="6">
        <v>2011</v>
      </c>
      <c r="E76">
        <v>75</v>
      </c>
      <c r="F76" s="30">
        <v>0.9922802514367296</v>
      </c>
      <c r="G76" s="38">
        <f t="shared" si="5"/>
        <v>19251.617647676281</v>
      </c>
      <c r="H76" s="112">
        <f t="shared" si="6"/>
        <v>9.8653503698308231</v>
      </c>
    </row>
    <row r="77" spans="1:8" x14ac:dyDescent="0.35">
      <c r="A77" s="2" t="s">
        <v>70</v>
      </c>
      <c r="B77" t="str">
        <f t="shared" si="4"/>
        <v>2011</v>
      </c>
      <c r="C77" s="22">
        <v>21133</v>
      </c>
      <c r="D77" s="6">
        <v>2011</v>
      </c>
      <c r="E77">
        <v>76</v>
      </c>
      <c r="F77" s="30">
        <v>1.1073678838309451</v>
      </c>
      <c r="G77" s="38">
        <f t="shared" si="5"/>
        <v>19083.99214802065</v>
      </c>
      <c r="H77" s="112">
        <f t="shared" si="6"/>
        <v>9.8566051551928542</v>
      </c>
    </row>
    <row r="78" spans="1:8" x14ac:dyDescent="0.35">
      <c r="A78" s="2" t="s">
        <v>71</v>
      </c>
      <c r="B78" t="str">
        <f t="shared" si="4"/>
        <v>2012</v>
      </c>
      <c r="C78" s="22">
        <v>19401</v>
      </c>
      <c r="D78" s="6">
        <v>2012</v>
      </c>
      <c r="E78">
        <v>77</v>
      </c>
      <c r="F78" s="30">
        <v>1.0234185080278571</v>
      </c>
      <c r="G78" s="38">
        <f t="shared" si="5"/>
        <v>18957.054076915239</v>
      </c>
      <c r="H78" s="112">
        <f t="shared" si="6"/>
        <v>9.8499313880468353</v>
      </c>
    </row>
    <row r="79" spans="1:8" x14ac:dyDescent="0.35">
      <c r="A79" s="2" t="s">
        <v>72</v>
      </c>
      <c r="B79" t="str">
        <f t="shared" si="4"/>
        <v>2012</v>
      </c>
      <c r="C79" s="22">
        <v>19056</v>
      </c>
      <c r="D79" s="6">
        <v>2012</v>
      </c>
      <c r="E79">
        <v>78</v>
      </c>
      <c r="F79" s="30">
        <v>0.96778361364008814</v>
      </c>
      <c r="G79" s="38">
        <f t="shared" si="5"/>
        <v>19690.351987181704</v>
      </c>
      <c r="H79" s="112">
        <f t="shared" si="6"/>
        <v>9.8878840479173569</v>
      </c>
    </row>
    <row r="80" spans="1:8" x14ac:dyDescent="0.35">
      <c r="A80" s="2" t="s">
        <v>73</v>
      </c>
      <c r="B80" t="str">
        <f t="shared" si="4"/>
        <v>2012</v>
      </c>
      <c r="C80" s="22">
        <v>19943</v>
      </c>
      <c r="D80" s="6">
        <v>2012</v>
      </c>
      <c r="E80">
        <v>79</v>
      </c>
      <c r="F80" s="30">
        <v>1.0471910079749045</v>
      </c>
      <c r="G80" s="38">
        <f t="shared" si="5"/>
        <v>19044.281175185497</v>
      </c>
      <c r="H80" s="112">
        <f t="shared" si="6"/>
        <v>9.8545221347079099</v>
      </c>
    </row>
    <row r="81" spans="1:8" x14ac:dyDescent="0.35">
      <c r="A81" s="2" t="s">
        <v>74</v>
      </c>
      <c r="B81" t="str">
        <f t="shared" si="4"/>
        <v>2012</v>
      </c>
      <c r="C81" s="22">
        <v>19050</v>
      </c>
      <c r="D81" s="6">
        <v>2012</v>
      </c>
      <c r="E81">
        <v>80</v>
      </c>
      <c r="F81" s="30">
        <v>1.0057927338780821</v>
      </c>
      <c r="G81" s="38">
        <f t="shared" si="5"/>
        <v>18940.283975355462</v>
      </c>
      <c r="H81" s="112">
        <f t="shared" si="6"/>
        <v>9.849046360046648</v>
      </c>
    </row>
    <row r="82" spans="1:8" x14ac:dyDescent="0.35">
      <c r="A82" s="3" t="s">
        <v>183</v>
      </c>
      <c r="B82" t="str">
        <f t="shared" si="4"/>
        <v>2012</v>
      </c>
      <c r="C82" s="22">
        <v>19701</v>
      </c>
      <c r="D82" s="6">
        <v>2012</v>
      </c>
      <c r="E82">
        <v>81</v>
      </c>
      <c r="F82" s="30">
        <v>1.0311404366997561</v>
      </c>
      <c r="G82" s="38">
        <f t="shared" si="5"/>
        <v>19106.029885758879</v>
      </c>
      <c r="H82" s="112">
        <f t="shared" si="6"/>
        <v>9.8577592650367745</v>
      </c>
    </row>
    <row r="83" spans="1:8" x14ac:dyDescent="0.35">
      <c r="A83" s="2" t="s">
        <v>75</v>
      </c>
      <c r="B83" t="str">
        <f t="shared" si="4"/>
        <v>2012</v>
      </c>
      <c r="C83" s="22">
        <v>18426</v>
      </c>
      <c r="D83" s="6">
        <v>2012</v>
      </c>
      <c r="E83">
        <v>82</v>
      </c>
      <c r="F83" s="30">
        <v>0.99647151229008235</v>
      </c>
      <c r="G83" s="38">
        <f t="shared" si="5"/>
        <v>18491.246134727447</v>
      </c>
      <c r="H83" s="112">
        <f t="shared" si="6"/>
        <v>9.8250527171739055</v>
      </c>
    </row>
    <row r="84" spans="1:8" x14ac:dyDescent="0.35">
      <c r="A84" s="2" t="s">
        <v>76</v>
      </c>
      <c r="B84" t="str">
        <f t="shared" si="4"/>
        <v>2012</v>
      </c>
      <c r="C84" s="22">
        <v>18559</v>
      </c>
      <c r="D84" s="6">
        <v>2012</v>
      </c>
      <c r="E84">
        <v>83</v>
      </c>
      <c r="F84" s="30">
        <v>0.99924985141460465</v>
      </c>
      <c r="G84" s="38">
        <f t="shared" si="5"/>
        <v>18572.932459010772</v>
      </c>
      <c r="H84" s="112">
        <f t="shared" si="6"/>
        <v>9.8294605556659373</v>
      </c>
    </row>
    <row r="85" spans="1:8" x14ac:dyDescent="0.35">
      <c r="A85" s="2" t="s">
        <v>77</v>
      </c>
      <c r="B85" t="str">
        <f t="shared" si="4"/>
        <v>2012</v>
      </c>
      <c r="C85" s="22">
        <v>19168</v>
      </c>
      <c r="D85" s="6">
        <v>2012</v>
      </c>
      <c r="E85">
        <v>84</v>
      </c>
      <c r="F85" s="30">
        <v>1.0121735261994504</v>
      </c>
      <c r="G85" s="38">
        <f t="shared" si="5"/>
        <v>18937.464282406963</v>
      </c>
      <c r="H85" s="112">
        <f t="shared" si="6"/>
        <v>9.8488974761724268</v>
      </c>
    </row>
    <row r="86" spans="1:8" x14ac:dyDescent="0.35">
      <c r="A86" s="2" t="s">
        <v>78</v>
      </c>
      <c r="B86" t="str">
        <f t="shared" si="4"/>
        <v>2012</v>
      </c>
      <c r="C86" s="22">
        <v>17847</v>
      </c>
      <c r="D86" s="6">
        <v>2012</v>
      </c>
      <c r="E86">
        <v>85</v>
      </c>
      <c r="F86" s="30">
        <v>0.98079097156469441</v>
      </c>
      <c r="G86" s="38">
        <f t="shared" si="5"/>
        <v>18196.537812259812</v>
      </c>
      <c r="H86" s="112">
        <f t="shared" si="6"/>
        <v>9.8089866248732331</v>
      </c>
    </row>
    <row r="87" spans="1:8" x14ac:dyDescent="0.35">
      <c r="A87" s="2" t="s">
        <v>79</v>
      </c>
      <c r="B87" t="str">
        <f t="shared" si="4"/>
        <v>2012</v>
      </c>
      <c r="C87" s="22">
        <v>19468</v>
      </c>
      <c r="D87" s="6">
        <v>2012</v>
      </c>
      <c r="E87">
        <v>86</v>
      </c>
      <c r="F87" s="30">
        <v>1.0323394347969677</v>
      </c>
      <c r="G87" s="38">
        <f t="shared" si="5"/>
        <v>18858.138460853053</v>
      </c>
      <c r="H87" s="112">
        <f t="shared" si="6"/>
        <v>9.8446998482859236</v>
      </c>
    </row>
    <row r="88" spans="1:8" x14ac:dyDescent="0.35">
      <c r="A88" s="2" t="s">
        <v>80</v>
      </c>
      <c r="B88" t="str">
        <f t="shared" si="4"/>
        <v>2012</v>
      </c>
      <c r="C88" s="22">
        <v>18700</v>
      </c>
      <c r="D88" s="6">
        <v>2012</v>
      </c>
      <c r="E88">
        <v>87</v>
      </c>
      <c r="F88" s="30">
        <v>0.9922802514367296</v>
      </c>
      <c r="G88" s="38">
        <f t="shared" si="5"/>
        <v>18845.482385570143</v>
      </c>
      <c r="H88" s="112">
        <f t="shared" si="6"/>
        <v>9.8440285029098487</v>
      </c>
    </row>
    <row r="89" spans="1:8" x14ac:dyDescent="0.35">
      <c r="A89" s="2" t="s">
        <v>81</v>
      </c>
      <c r="B89" t="str">
        <f t="shared" si="4"/>
        <v>2012</v>
      </c>
      <c r="C89" s="22">
        <v>20632</v>
      </c>
      <c r="D89" s="6">
        <v>2012</v>
      </c>
      <c r="E89">
        <v>88</v>
      </c>
      <c r="F89" s="30">
        <v>1.1073678838309451</v>
      </c>
      <c r="G89" s="38">
        <f t="shared" si="5"/>
        <v>18631.567974161837</v>
      </c>
      <c r="H89" s="112">
        <f t="shared" si="6"/>
        <v>9.8326126239918814</v>
      </c>
    </row>
    <row r="90" spans="1:8" x14ac:dyDescent="0.35">
      <c r="A90" s="4" t="s">
        <v>82</v>
      </c>
      <c r="B90" t="str">
        <f t="shared" si="4"/>
        <v>2013</v>
      </c>
      <c r="C90" s="23">
        <v>19826</v>
      </c>
      <c r="D90" s="6">
        <v>2013</v>
      </c>
      <c r="E90">
        <v>89</v>
      </c>
      <c r="F90" s="30">
        <v>1.0234185080278571</v>
      </c>
      <c r="G90" s="38">
        <f t="shared" si="5"/>
        <v>19372.328958760969</v>
      </c>
      <c r="H90" s="112">
        <f t="shared" si="6"/>
        <v>9.8716009845249761</v>
      </c>
    </row>
    <row r="91" spans="1:8" x14ac:dyDescent="0.35">
      <c r="A91" s="4" t="s">
        <v>83</v>
      </c>
      <c r="B91" t="str">
        <f t="shared" si="4"/>
        <v>2013</v>
      </c>
      <c r="C91" s="23">
        <v>18221</v>
      </c>
      <c r="D91" s="6">
        <v>2013</v>
      </c>
      <c r="E91">
        <v>90</v>
      </c>
      <c r="F91" s="30">
        <v>0.96778361364008814</v>
      </c>
      <c r="G91" s="38">
        <f t="shared" si="5"/>
        <v>18827.555812260591</v>
      </c>
      <c r="H91" s="112">
        <f t="shared" si="6"/>
        <v>9.8430768103721533</v>
      </c>
    </row>
    <row r="92" spans="1:8" x14ac:dyDescent="0.35">
      <c r="A92" s="4" t="s">
        <v>84</v>
      </c>
      <c r="B92" t="str">
        <f t="shared" si="4"/>
        <v>2013</v>
      </c>
      <c r="C92" s="23">
        <v>19625</v>
      </c>
      <c r="D92" s="6">
        <v>2013</v>
      </c>
      <c r="E92">
        <v>91</v>
      </c>
      <c r="F92" s="30">
        <v>1.0471910079749045</v>
      </c>
      <c r="G92" s="38">
        <f t="shared" si="5"/>
        <v>18740.611646342848</v>
      </c>
      <c r="H92" s="112">
        <f t="shared" si="6"/>
        <v>9.8384481938052968</v>
      </c>
    </row>
    <row r="93" spans="1:8" x14ac:dyDescent="0.35">
      <c r="A93" s="4" t="s">
        <v>85</v>
      </c>
      <c r="B93" t="str">
        <f t="shared" si="4"/>
        <v>2013</v>
      </c>
      <c r="C93" s="23">
        <v>19168</v>
      </c>
      <c r="D93" s="6">
        <v>2013</v>
      </c>
      <c r="E93">
        <v>92</v>
      </c>
      <c r="F93" s="30">
        <v>1.0057927338780821</v>
      </c>
      <c r="G93" s="38">
        <f t="shared" si="5"/>
        <v>19057.604369533517</v>
      </c>
      <c r="H93" s="112">
        <f t="shared" si="6"/>
        <v>9.8552214804069767</v>
      </c>
    </row>
    <row r="94" spans="1:8" x14ac:dyDescent="0.35">
      <c r="A94" s="5" t="s">
        <v>86</v>
      </c>
      <c r="B94" t="str">
        <f t="shared" si="4"/>
        <v>2013</v>
      </c>
      <c r="C94" s="23">
        <v>19806</v>
      </c>
      <c r="D94" s="6">
        <v>2013</v>
      </c>
      <c r="E94">
        <v>93</v>
      </c>
      <c r="F94" s="30">
        <v>1.0311404366997561</v>
      </c>
      <c r="G94" s="38">
        <f t="shared" si="5"/>
        <v>19207.858886215945</v>
      </c>
      <c r="H94" s="112">
        <f t="shared" si="6"/>
        <v>9.8630747912589403</v>
      </c>
    </row>
    <row r="95" spans="1:8" x14ac:dyDescent="0.35">
      <c r="A95" s="4" t="s">
        <v>87</v>
      </c>
      <c r="B95" t="str">
        <f t="shared" si="4"/>
        <v>2013</v>
      </c>
      <c r="C95" s="23">
        <v>18547</v>
      </c>
      <c r="D95" s="6">
        <v>2013</v>
      </c>
      <c r="E95">
        <v>94</v>
      </c>
      <c r="F95" s="30">
        <v>0.99647151229008235</v>
      </c>
      <c r="G95" s="38">
        <f t="shared" si="5"/>
        <v>18612.674593552045</v>
      </c>
      <c r="H95" s="112">
        <f t="shared" si="6"/>
        <v>9.8315980573943147</v>
      </c>
    </row>
    <row r="96" spans="1:8" x14ac:dyDescent="0.35">
      <c r="A96" s="4" t="s">
        <v>88</v>
      </c>
      <c r="B96" t="str">
        <f t="shared" si="4"/>
        <v>2013</v>
      </c>
      <c r="C96" s="23">
        <v>19470</v>
      </c>
      <c r="D96" s="6">
        <v>2013</v>
      </c>
      <c r="E96">
        <v>95</v>
      </c>
      <c r="F96" s="30">
        <v>0.99924985141460465</v>
      </c>
      <c r="G96" s="38">
        <f t="shared" si="5"/>
        <v>19484.616357397474</v>
      </c>
      <c r="H96" s="112">
        <f t="shared" si="6"/>
        <v>9.8773805284538785</v>
      </c>
    </row>
    <row r="97" spans="1:8" x14ac:dyDescent="0.35">
      <c r="A97" s="4" t="s">
        <v>89</v>
      </c>
      <c r="B97" t="str">
        <f t="shared" si="4"/>
        <v>2013</v>
      </c>
      <c r="C97" s="23">
        <v>19562</v>
      </c>
      <c r="D97" s="6">
        <v>2013</v>
      </c>
      <c r="E97">
        <v>96</v>
      </c>
      <c r="F97" s="30">
        <v>1.0121735261994504</v>
      </c>
      <c r="G97" s="38">
        <f t="shared" si="5"/>
        <v>19326.725599564117</v>
      </c>
      <c r="H97" s="112">
        <f t="shared" si="6"/>
        <v>9.8692441631076893</v>
      </c>
    </row>
    <row r="98" spans="1:8" x14ac:dyDescent="0.35">
      <c r="A98" s="4" t="s">
        <v>90</v>
      </c>
      <c r="B98" t="str">
        <f t="shared" ref="B98:B129" si="7">MID(A98,6,4)</f>
        <v>2013</v>
      </c>
      <c r="C98" s="23">
        <v>19217</v>
      </c>
      <c r="D98" s="6">
        <v>2013</v>
      </c>
      <c r="E98">
        <v>97</v>
      </c>
      <c r="F98" s="30">
        <v>0.98079097156469441</v>
      </c>
      <c r="G98" s="38">
        <f t="shared" si="5"/>
        <v>19593.369593668223</v>
      </c>
      <c r="H98" s="112">
        <f t="shared" si="6"/>
        <v>9.8829465019496432</v>
      </c>
    </row>
    <row r="99" spans="1:8" x14ac:dyDescent="0.35">
      <c r="A99" s="4" t="s">
        <v>91</v>
      </c>
      <c r="B99" t="str">
        <f t="shared" si="7"/>
        <v>2013</v>
      </c>
      <c r="C99" s="23">
        <v>20478</v>
      </c>
      <c r="D99" s="6">
        <v>2013</v>
      </c>
      <c r="E99">
        <v>98</v>
      </c>
      <c r="F99" s="30">
        <v>1.0323394347969677</v>
      </c>
      <c r="G99" s="38">
        <f t="shared" si="5"/>
        <v>19836.498839189895</v>
      </c>
      <c r="H99" s="112">
        <f t="shared" si="6"/>
        <v>9.8952788954673405</v>
      </c>
    </row>
    <row r="100" spans="1:8" x14ac:dyDescent="0.35">
      <c r="A100" s="4" t="s">
        <v>92</v>
      </c>
      <c r="B100" t="str">
        <f t="shared" si="7"/>
        <v>2013</v>
      </c>
      <c r="C100" s="23">
        <v>19554</v>
      </c>
      <c r="D100" s="6">
        <v>2013</v>
      </c>
      <c r="E100">
        <v>99</v>
      </c>
      <c r="F100" s="30">
        <v>0.9922802514367296</v>
      </c>
      <c r="G100" s="38">
        <f t="shared" si="5"/>
        <v>19706.126340504736</v>
      </c>
      <c r="H100" s="112">
        <f t="shared" si="6"/>
        <v>9.8886848481327867</v>
      </c>
    </row>
    <row r="101" spans="1:8" x14ac:dyDescent="0.35">
      <c r="A101" s="4" t="s">
        <v>93</v>
      </c>
      <c r="B101" t="str">
        <f t="shared" si="7"/>
        <v>2013</v>
      </c>
      <c r="C101" s="23">
        <v>22074</v>
      </c>
      <c r="D101" s="6">
        <v>2013</v>
      </c>
      <c r="E101">
        <v>100</v>
      </c>
      <c r="F101" s="30">
        <v>1.1073678838309451</v>
      </c>
      <c r="G101" s="38">
        <f t="shared" si="5"/>
        <v>19933.754917683615</v>
      </c>
      <c r="H101" s="112">
        <f t="shared" si="6"/>
        <v>9.9001698007635301</v>
      </c>
    </row>
    <row r="102" spans="1:8" x14ac:dyDescent="0.35">
      <c r="A102" s="4" t="s">
        <v>94</v>
      </c>
      <c r="B102" t="str">
        <f t="shared" si="7"/>
        <v>2014</v>
      </c>
      <c r="C102" s="23">
        <v>20634</v>
      </c>
      <c r="D102" s="6">
        <v>2014</v>
      </c>
      <c r="E102">
        <v>101</v>
      </c>
      <c r="F102" s="30">
        <v>1.0234185080278571</v>
      </c>
      <c r="G102" s="38">
        <f t="shared" si="5"/>
        <v>20161.839792952378</v>
      </c>
      <c r="H102" s="112">
        <f t="shared" si="6"/>
        <v>9.9115469775924545</v>
      </c>
    </row>
    <row r="103" spans="1:8" x14ac:dyDescent="0.35">
      <c r="A103" s="4" t="s">
        <v>95</v>
      </c>
      <c r="B103" t="str">
        <f t="shared" si="7"/>
        <v>2014</v>
      </c>
      <c r="C103" s="23">
        <v>19140</v>
      </c>
      <c r="D103" s="6">
        <v>2014</v>
      </c>
      <c r="E103">
        <v>102</v>
      </c>
      <c r="F103" s="30">
        <v>0.96778361364008814</v>
      </c>
      <c r="G103" s="38">
        <f t="shared" si="5"/>
        <v>19777.148249089936</v>
      </c>
      <c r="H103" s="112">
        <f t="shared" si="6"/>
        <v>9.8922824213292202</v>
      </c>
    </row>
    <row r="104" spans="1:8" x14ac:dyDescent="0.35">
      <c r="A104" s="4" t="s">
        <v>96</v>
      </c>
      <c r="B104" t="str">
        <f t="shared" si="7"/>
        <v>2014</v>
      </c>
      <c r="C104" s="23">
        <v>20488</v>
      </c>
      <c r="D104" s="6">
        <v>2014</v>
      </c>
      <c r="E104">
        <v>103</v>
      </c>
      <c r="F104" s="30">
        <v>1.0471910079749045</v>
      </c>
      <c r="G104" s="38">
        <f t="shared" si="5"/>
        <v>19564.721090969288</v>
      </c>
      <c r="H104" s="112">
        <f t="shared" si="6"/>
        <v>9.8814832790340486</v>
      </c>
    </row>
    <row r="105" spans="1:8" x14ac:dyDescent="0.35">
      <c r="A105" s="4" t="s">
        <v>97</v>
      </c>
      <c r="B105" t="str">
        <f t="shared" si="7"/>
        <v>2014</v>
      </c>
      <c r="C105" s="23">
        <v>20621</v>
      </c>
      <c r="D105" s="6">
        <v>2014</v>
      </c>
      <c r="E105">
        <v>104</v>
      </c>
      <c r="F105" s="30">
        <v>1.0057927338780821</v>
      </c>
      <c r="G105" s="38">
        <f t="shared" si="5"/>
        <v>20502.236002929396</v>
      </c>
      <c r="H105" s="112">
        <f t="shared" si="6"/>
        <v>9.9282892324920677</v>
      </c>
    </row>
    <row r="106" spans="1:8" x14ac:dyDescent="0.35">
      <c r="A106" s="5" t="s">
        <v>98</v>
      </c>
      <c r="B106" t="str">
        <f t="shared" si="7"/>
        <v>2014</v>
      </c>
      <c r="C106" s="23">
        <v>21069</v>
      </c>
      <c r="D106" s="6">
        <v>2014</v>
      </c>
      <c r="E106">
        <v>105</v>
      </c>
      <c r="F106" s="30">
        <v>1.0311404366997561</v>
      </c>
      <c r="G106" s="38">
        <f t="shared" si="5"/>
        <v>20432.716291713812</v>
      </c>
      <c r="H106" s="112">
        <f t="shared" si="6"/>
        <v>9.9248926350048219</v>
      </c>
    </row>
    <row r="107" spans="1:8" x14ac:dyDescent="0.35">
      <c r="A107" s="4" t="s">
        <v>99</v>
      </c>
      <c r="B107" t="str">
        <f t="shared" si="7"/>
        <v>2014</v>
      </c>
      <c r="C107" s="23">
        <v>20421</v>
      </c>
      <c r="D107" s="6">
        <v>2014</v>
      </c>
      <c r="E107">
        <v>106</v>
      </c>
      <c r="F107" s="30">
        <v>0.99647151229008235</v>
      </c>
      <c r="G107" s="38">
        <f t="shared" si="5"/>
        <v>20493.310393860265</v>
      </c>
      <c r="H107" s="112">
        <f t="shared" si="6"/>
        <v>9.9278537896210892</v>
      </c>
    </row>
    <row r="108" spans="1:8" x14ac:dyDescent="0.35">
      <c r="A108" s="4" t="s">
        <v>100</v>
      </c>
      <c r="B108" t="str">
        <f t="shared" si="7"/>
        <v>2014</v>
      </c>
      <c r="C108" s="23">
        <v>20910</v>
      </c>
      <c r="D108" s="6">
        <v>2014</v>
      </c>
      <c r="E108">
        <v>107</v>
      </c>
      <c r="F108" s="30">
        <v>0.99924985141460465</v>
      </c>
      <c r="G108" s="38">
        <f t="shared" si="5"/>
        <v>20925.697382289734</v>
      </c>
      <c r="H108" s="112">
        <f t="shared" si="6"/>
        <v>9.9487332225103131</v>
      </c>
    </row>
    <row r="109" spans="1:8" x14ac:dyDescent="0.35">
      <c r="A109" s="4" t="s">
        <v>101</v>
      </c>
      <c r="B109" t="str">
        <f t="shared" si="7"/>
        <v>2014</v>
      </c>
      <c r="C109" s="23">
        <v>20631</v>
      </c>
      <c r="D109" s="6">
        <v>2014</v>
      </c>
      <c r="E109">
        <v>108</v>
      </c>
      <c r="F109" s="30">
        <v>1.0121735261994504</v>
      </c>
      <c r="G109" s="38">
        <f t="shared" si="5"/>
        <v>20382.868614896601</v>
      </c>
      <c r="H109" s="112">
        <f t="shared" si="6"/>
        <v>9.9224500532451962</v>
      </c>
    </row>
    <row r="110" spans="1:8" x14ac:dyDescent="0.35">
      <c r="A110" s="4" t="s">
        <v>102</v>
      </c>
      <c r="B110" t="str">
        <f t="shared" si="7"/>
        <v>2014</v>
      </c>
      <c r="C110" s="23">
        <v>20699</v>
      </c>
      <c r="D110" s="6">
        <v>2014</v>
      </c>
      <c r="E110">
        <v>109</v>
      </c>
      <c r="F110" s="30">
        <v>0.98079097156469441</v>
      </c>
      <c r="G110" s="38">
        <f t="shared" si="5"/>
        <v>21104.394922169879</v>
      </c>
      <c r="H110" s="112">
        <f t="shared" si="6"/>
        <v>9.9572365879250082</v>
      </c>
    </row>
    <row r="111" spans="1:8" x14ac:dyDescent="0.35">
      <c r="A111" s="4" t="s">
        <v>103</v>
      </c>
      <c r="B111" t="str">
        <f t="shared" si="7"/>
        <v>2014</v>
      </c>
      <c r="C111" s="23">
        <v>21676</v>
      </c>
      <c r="D111" s="6">
        <v>2014</v>
      </c>
      <c r="E111">
        <v>110</v>
      </c>
      <c r="F111" s="30">
        <v>1.0323394347969677</v>
      </c>
      <c r="G111" s="38">
        <f t="shared" si="5"/>
        <v>20996.969862207254</v>
      </c>
      <c r="H111" s="112">
        <f t="shared" si="6"/>
        <v>9.9521334140185829</v>
      </c>
    </row>
    <row r="112" spans="1:8" x14ac:dyDescent="0.35">
      <c r="A112" s="4" t="s">
        <v>104</v>
      </c>
      <c r="B112" t="str">
        <f t="shared" si="7"/>
        <v>2014</v>
      </c>
      <c r="C112" s="23">
        <v>20211</v>
      </c>
      <c r="D112" s="6">
        <v>2014</v>
      </c>
      <c r="E112">
        <v>111</v>
      </c>
      <c r="F112" s="30">
        <v>0.9922802514367296</v>
      </c>
      <c r="G112" s="38">
        <f t="shared" si="5"/>
        <v>20368.23767351648</v>
      </c>
      <c r="H112" s="112">
        <f t="shared" si="6"/>
        <v>9.9217319896959406</v>
      </c>
    </row>
    <row r="113" spans="1:8" x14ac:dyDescent="0.35">
      <c r="A113" s="4" t="s">
        <v>105</v>
      </c>
      <c r="B113" t="str">
        <f t="shared" si="7"/>
        <v>2014</v>
      </c>
      <c r="C113" s="23">
        <v>24046</v>
      </c>
      <c r="D113" s="6">
        <v>2014</v>
      </c>
      <c r="E113">
        <v>112</v>
      </c>
      <c r="F113" s="30">
        <v>1.1073678838309451</v>
      </c>
      <c r="G113" s="38">
        <f t="shared" si="5"/>
        <v>21714.554260696757</v>
      </c>
      <c r="H113" s="112">
        <f t="shared" si="6"/>
        <v>9.9857380179655557</v>
      </c>
    </row>
    <row r="114" spans="1:8" x14ac:dyDescent="0.35">
      <c r="A114" s="4" t="s">
        <v>106</v>
      </c>
      <c r="B114" t="str">
        <f t="shared" si="7"/>
        <v>2015</v>
      </c>
      <c r="C114" s="23">
        <v>21713</v>
      </c>
      <c r="D114" s="6">
        <v>2015</v>
      </c>
      <c r="E114">
        <v>113</v>
      </c>
      <c r="F114" s="30">
        <v>1.0234185080278571</v>
      </c>
      <c r="G114" s="38">
        <f t="shared" si="5"/>
        <v>21216.149434156003</v>
      </c>
      <c r="H114" s="112">
        <f t="shared" si="6"/>
        <v>9.962517936425904</v>
      </c>
    </row>
    <row r="115" spans="1:8" x14ac:dyDescent="0.35">
      <c r="A115" s="4" t="s">
        <v>107</v>
      </c>
      <c r="B115" t="str">
        <f t="shared" si="7"/>
        <v>2015</v>
      </c>
      <c r="C115" s="23">
        <v>20085</v>
      </c>
      <c r="D115" s="6">
        <v>2015</v>
      </c>
      <c r="E115">
        <v>114</v>
      </c>
      <c r="F115" s="30">
        <v>0.96778361364008814</v>
      </c>
      <c r="G115" s="38">
        <f t="shared" si="5"/>
        <v>20753.606195557542</v>
      </c>
      <c r="H115" s="112">
        <f t="shared" si="6"/>
        <v>9.9404753031156581</v>
      </c>
    </row>
    <row r="116" spans="1:8" x14ac:dyDescent="0.35">
      <c r="A116" s="4" t="s">
        <v>108</v>
      </c>
      <c r="B116" t="str">
        <f t="shared" si="7"/>
        <v>2015</v>
      </c>
      <c r="C116" s="23">
        <v>22366</v>
      </c>
      <c r="D116" s="6">
        <v>2015</v>
      </c>
      <c r="E116">
        <v>115</v>
      </c>
      <c r="F116" s="30">
        <v>1.0471910079749045</v>
      </c>
      <c r="G116" s="38">
        <f t="shared" si="5"/>
        <v>21358.09019526645</v>
      </c>
      <c r="H116" s="112">
        <f t="shared" si="6"/>
        <v>9.969185878742822</v>
      </c>
    </row>
    <row r="117" spans="1:8" x14ac:dyDescent="0.35">
      <c r="A117" s="4" t="s">
        <v>109</v>
      </c>
      <c r="B117" t="str">
        <f t="shared" si="7"/>
        <v>2015</v>
      </c>
      <c r="C117" s="23">
        <v>21551</v>
      </c>
      <c r="D117" s="6">
        <v>2015</v>
      </c>
      <c r="E117">
        <v>116</v>
      </c>
      <c r="F117" s="30">
        <v>1.0057927338780821</v>
      </c>
      <c r="G117" s="38">
        <f t="shared" si="5"/>
        <v>21426.879787553047</v>
      </c>
      <c r="H117" s="112">
        <f t="shared" si="6"/>
        <v>9.972401477659373</v>
      </c>
    </row>
    <row r="118" spans="1:8" x14ac:dyDescent="0.35">
      <c r="A118" s="5" t="s">
        <v>110</v>
      </c>
      <c r="B118" t="str">
        <f t="shared" si="7"/>
        <v>2015</v>
      </c>
      <c r="C118" s="23">
        <v>21461</v>
      </c>
      <c r="D118" s="6">
        <v>2015</v>
      </c>
      <c r="E118">
        <v>117</v>
      </c>
      <c r="F118" s="30">
        <v>1.0311404366997561</v>
      </c>
      <c r="G118" s="38">
        <f t="shared" si="5"/>
        <v>20812.877893420195</v>
      </c>
      <c r="H118" s="112">
        <f t="shared" si="6"/>
        <v>9.9433272035991731</v>
      </c>
    </row>
    <row r="119" spans="1:8" x14ac:dyDescent="0.35">
      <c r="A119" s="4" t="s">
        <v>111</v>
      </c>
      <c r="B119" t="str">
        <f t="shared" si="7"/>
        <v>2015</v>
      </c>
      <c r="C119" s="23">
        <v>21489</v>
      </c>
      <c r="D119" s="6">
        <v>2015</v>
      </c>
      <c r="E119">
        <v>118</v>
      </c>
      <c r="F119" s="30">
        <v>0.99647151229008235</v>
      </c>
      <c r="G119" s="38">
        <f t="shared" si="5"/>
        <v>21565.092162659184</v>
      </c>
      <c r="H119" s="112">
        <f t="shared" si="6"/>
        <v>9.9788311827875891</v>
      </c>
    </row>
    <row r="120" spans="1:8" x14ac:dyDescent="0.35">
      <c r="A120" s="4" t="s">
        <v>112</v>
      </c>
      <c r="B120" t="str">
        <f t="shared" si="7"/>
        <v>2015</v>
      </c>
      <c r="C120" s="23">
        <v>21774</v>
      </c>
      <c r="D120" s="6">
        <v>2015</v>
      </c>
      <c r="E120">
        <v>119</v>
      </c>
      <c r="F120" s="30">
        <v>0.99924985141460465</v>
      </c>
      <c r="G120" s="38">
        <f t="shared" si="5"/>
        <v>21790.345997225093</v>
      </c>
      <c r="H120" s="112">
        <f t="shared" si="6"/>
        <v>9.9892223065287578</v>
      </c>
    </row>
    <row r="121" spans="1:8" x14ac:dyDescent="0.35">
      <c r="A121" s="4" t="s">
        <v>113</v>
      </c>
      <c r="B121" t="str">
        <f t="shared" si="7"/>
        <v>2015</v>
      </c>
      <c r="C121" s="23">
        <v>21533</v>
      </c>
      <c r="D121" s="6">
        <v>2015</v>
      </c>
      <c r="E121">
        <v>120</v>
      </c>
      <c r="F121" s="30">
        <v>1.0121735261994504</v>
      </c>
      <c r="G121" s="38">
        <f t="shared" si="5"/>
        <v>21274.020158236075</v>
      </c>
      <c r="H121" s="112">
        <f t="shared" si="6"/>
        <v>9.9652418963638585</v>
      </c>
    </row>
    <row r="122" spans="1:8" x14ac:dyDescent="0.35">
      <c r="A122" s="4" t="s">
        <v>114</v>
      </c>
      <c r="B122" t="str">
        <f t="shared" si="7"/>
        <v>2015</v>
      </c>
      <c r="C122" s="23">
        <v>22018</v>
      </c>
      <c r="D122" s="6">
        <v>2015</v>
      </c>
      <c r="E122">
        <v>121</v>
      </c>
      <c r="F122" s="30">
        <v>0.98079097156469441</v>
      </c>
      <c r="G122" s="38">
        <f t="shared" si="5"/>
        <v>22449.227856241192</v>
      </c>
      <c r="H122" s="112">
        <f t="shared" si="6"/>
        <v>10.019011498647565</v>
      </c>
    </row>
    <row r="123" spans="1:8" x14ac:dyDescent="0.35">
      <c r="A123" s="4" t="s">
        <v>115</v>
      </c>
      <c r="B123" t="str">
        <f t="shared" si="7"/>
        <v>2015</v>
      </c>
      <c r="C123" s="23">
        <v>22625</v>
      </c>
      <c r="D123" s="6">
        <v>2015</v>
      </c>
      <c r="E123">
        <v>122</v>
      </c>
      <c r="F123" s="30">
        <v>1.0323394347969677</v>
      </c>
      <c r="G123" s="38">
        <f t="shared" si="5"/>
        <v>21916.241148387115</v>
      </c>
      <c r="H123" s="112">
        <f t="shared" si="6"/>
        <v>9.9949832459007055</v>
      </c>
    </row>
    <row r="124" spans="1:8" x14ac:dyDescent="0.35">
      <c r="A124" s="4" t="s">
        <v>116</v>
      </c>
      <c r="B124" t="str">
        <f t="shared" si="7"/>
        <v>2015</v>
      </c>
      <c r="C124" s="23">
        <v>21642</v>
      </c>
      <c r="D124" s="6">
        <v>2015</v>
      </c>
      <c r="E124">
        <v>123</v>
      </c>
      <c r="F124" s="30">
        <v>0.9922802514367296</v>
      </c>
      <c r="G124" s="38">
        <f t="shared" si="5"/>
        <v>21810.370576925616</v>
      </c>
      <c r="H124" s="112">
        <f t="shared" si="6"/>
        <v>9.990140850198765</v>
      </c>
    </row>
    <row r="125" spans="1:8" x14ac:dyDescent="0.35">
      <c r="A125" s="4" t="s">
        <v>117</v>
      </c>
      <c r="B125" t="str">
        <f t="shared" si="7"/>
        <v>2015</v>
      </c>
      <c r="C125" s="23">
        <v>25212</v>
      </c>
      <c r="D125" s="6">
        <v>2015</v>
      </c>
      <c r="E125">
        <v>124</v>
      </c>
      <c r="F125" s="30">
        <v>1.1073678838309451</v>
      </c>
      <c r="G125" s="38">
        <f t="shared" si="5"/>
        <v>22767.501539577752</v>
      </c>
      <c r="H125" s="112">
        <f t="shared" si="6"/>
        <v>10.033089427063702</v>
      </c>
    </row>
    <row r="126" spans="1:8" x14ac:dyDescent="0.35">
      <c r="A126" s="4" t="s">
        <v>118</v>
      </c>
      <c r="B126" t="str">
        <f t="shared" si="7"/>
        <v>2016</v>
      </c>
      <c r="C126" s="23">
        <v>22157</v>
      </c>
      <c r="D126" s="6">
        <v>2016</v>
      </c>
      <c r="E126">
        <v>125</v>
      </c>
      <c r="F126" s="30">
        <v>1.0234185080278571</v>
      </c>
      <c r="G126" s="38">
        <f t="shared" si="5"/>
        <v>21649.989546013658</v>
      </c>
      <c r="H126" s="112">
        <f t="shared" si="6"/>
        <v>9.9827602505674093</v>
      </c>
    </row>
    <row r="127" spans="1:8" x14ac:dyDescent="0.35">
      <c r="A127" s="4" t="s">
        <v>119</v>
      </c>
      <c r="B127" t="str">
        <f t="shared" si="7"/>
        <v>2016</v>
      </c>
      <c r="C127" s="23">
        <v>22390</v>
      </c>
      <c r="D127" s="6">
        <v>2016</v>
      </c>
      <c r="E127">
        <v>126</v>
      </c>
      <c r="F127" s="30">
        <v>0.96778361364008814</v>
      </c>
      <c r="G127" s="38">
        <f t="shared" si="5"/>
        <v>23135.336953872709</v>
      </c>
      <c r="H127" s="112">
        <f t="shared" si="6"/>
        <v>10.049116465915075</v>
      </c>
    </row>
    <row r="128" spans="1:8" x14ac:dyDescent="0.35">
      <c r="A128" s="4" t="s">
        <v>120</v>
      </c>
      <c r="B128" t="str">
        <f t="shared" si="7"/>
        <v>2016</v>
      </c>
      <c r="C128" s="23">
        <v>23550</v>
      </c>
      <c r="D128" s="6">
        <v>2016</v>
      </c>
      <c r="E128">
        <v>127</v>
      </c>
      <c r="F128" s="30">
        <v>1.0471910079749045</v>
      </c>
      <c r="G128" s="38">
        <f t="shared" si="5"/>
        <v>22488.733975611416</v>
      </c>
      <c r="H128" s="112">
        <f t="shared" si="6"/>
        <v>10.020769750599252</v>
      </c>
    </row>
    <row r="129" spans="1:8" x14ac:dyDescent="0.35">
      <c r="A129" s="4" t="s">
        <v>121</v>
      </c>
      <c r="B129" t="str">
        <f t="shared" si="7"/>
        <v>2016</v>
      </c>
      <c r="C129" s="23">
        <v>22650</v>
      </c>
      <c r="D129" s="6">
        <v>2016</v>
      </c>
      <c r="E129">
        <v>128</v>
      </c>
      <c r="F129" s="30">
        <v>1.0057927338780821</v>
      </c>
      <c r="G129" s="38">
        <f t="shared" si="5"/>
        <v>22519.550238414762</v>
      </c>
      <c r="H129" s="112">
        <f t="shared" si="6"/>
        <v>10.02213911040298</v>
      </c>
    </row>
    <row r="130" spans="1:8" x14ac:dyDescent="0.35">
      <c r="A130" s="5" t="s">
        <v>122</v>
      </c>
      <c r="B130" t="str">
        <f t="shared" ref="B130:B161" si="8">MID(A130,6,4)</f>
        <v>2016</v>
      </c>
      <c r="C130" s="23">
        <v>23091</v>
      </c>
      <c r="D130" s="6">
        <v>2016</v>
      </c>
      <c r="E130">
        <v>129</v>
      </c>
      <c r="F130" s="30">
        <v>1.0311404366997561</v>
      </c>
      <c r="G130" s="38">
        <f t="shared" si="5"/>
        <v>22393.651900515622</v>
      </c>
      <c r="H130" s="112">
        <f t="shared" si="6"/>
        <v>10.016532800380119</v>
      </c>
    </row>
    <row r="131" spans="1:8" x14ac:dyDescent="0.35">
      <c r="A131" s="4" t="s">
        <v>123</v>
      </c>
      <c r="B131" t="str">
        <f t="shared" si="8"/>
        <v>2016</v>
      </c>
      <c r="C131" s="23">
        <v>22696</v>
      </c>
      <c r="D131" s="6">
        <v>2016</v>
      </c>
      <c r="E131">
        <v>130</v>
      </c>
      <c r="F131" s="30">
        <v>0.99647151229008235</v>
      </c>
      <c r="G131" s="38">
        <f t="shared" ref="G131:G181" si="9">C131/F131</f>
        <v>22776.366127959089</v>
      </c>
      <c r="H131" s="112">
        <f t="shared" ref="H131:H181" si="10">LN(G131)</f>
        <v>10.033478703993715</v>
      </c>
    </row>
    <row r="132" spans="1:8" x14ac:dyDescent="0.35">
      <c r="A132" s="4" t="s">
        <v>124</v>
      </c>
      <c r="B132" t="str">
        <f t="shared" si="8"/>
        <v>2016</v>
      </c>
      <c r="C132" s="23">
        <v>22157</v>
      </c>
      <c r="D132" s="6">
        <v>2016</v>
      </c>
      <c r="E132">
        <v>131</v>
      </c>
      <c r="F132" s="30">
        <v>0.99924985141460465</v>
      </c>
      <c r="G132" s="38">
        <f t="shared" si="9"/>
        <v>22173.633519817966</v>
      </c>
      <c r="H132" s="112">
        <f t="shared" si="10"/>
        <v>10.00665918272291</v>
      </c>
    </row>
    <row r="133" spans="1:8" x14ac:dyDescent="0.35">
      <c r="A133" s="4" t="s">
        <v>125</v>
      </c>
      <c r="B133" t="str">
        <f t="shared" si="8"/>
        <v>2016</v>
      </c>
      <c r="C133" s="23">
        <v>22989</v>
      </c>
      <c r="D133" s="6">
        <v>2016</v>
      </c>
      <c r="E133">
        <v>132</v>
      </c>
      <c r="F133" s="30">
        <v>1.0121735261994504</v>
      </c>
      <c r="G133" s="38">
        <f t="shared" si="9"/>
        <v>22712.508680522416</v>
      </c>
      <c r="H133" s="112">
        <f t="shared" si="10"/>
        <v>10.030671094895764</v>
      </c>
    </row>
    <row r="134" spans="1:8" x14ac:dyDescent="0.35">
      <c r="A134" s="4" t="s">
        <v>126</v>
      </c>
      <c r="B134" t="str">
        <f t="shared" si="8"/>
        <v>2016</v>
      </c>
      <c r="C134" s="23">
        <v>22211</v>
      </c>
      <c r="D134" s="6">
        <v>2016</v>
      </c>
      <c r="E134">
        <v>133</v>
      </c>
      <c r="F134" s="30">
        <v>0.98079097156469441</v>
      </c>
      <c r="G134" s="38">
        <f t="shared" si="9"/>
        <v>22646.007807928654</v>
      </c>
      <c r="H134" s="112">
        <f t="shared" si="10"/>
        <v>10.027738859655726</v>
      </c>
    </row>
    <row r="135" spans="1:8" x14ac:dyDescent="0.35">
      <c r="A135" s="4" t="s">
        <v>127</v>
      </c>
      <c r="B135" t="str">
        <f t="shared" si="8"/>
        <v>2016</v>
      </c>
      <c r="C135" s="23">
        <v>22096</v>
      </c>
      <c r="D135" s="6">
        <v>2016</v>
      </c>
      <c r="E135">
        <v>134</v>
      </c>
      <c r="F135" s="30">
        <v>1.0323394347969677</v>
      </c>
      <c r="G135" s="38">
        <f t="shared" si="9"/>
        <v>21403.81279181267</v>
      </c>
      <c r="H135" s="112">
        <f t="shared" si="10"/>
        <v>9.971324352981652</v>
      </c>
    </row>
    <row r="136" spans="1:8" x14ac:dyDescent="0.35">
      <c r="A136" s="4" t="s">
        <v>128</v>
      </c>
      <c r="B136" t="str">
        <f t="shared" si="8"/>
        <v>2016</v>
      </c>
      <c r="C136" s="23">
        <v>21854</v>
      </c>
      <c r="D136" s="6">
        <v>2016</v>
      </c>
      <c r="E136">
        <v>135</v>
      </c>
      <c r="F136" s="30">
        <v>0.9922802514367296</v>
      </c>
      <c r="G136" s="38">
        <f t="shared" si="9"/>
        <v>22024.019895949194</v>
      </c>
      <c r="H136" s="112">
        <f t="shared" si="10"/>
        <v>9.9998889501978621</v>
      </c>
    </row>
    <row r="137" spans="1:8" x14ac:dyDescent="0.35">
      <c r="A137" s="4" t="s">
        <v>129</v>
      </c>
      <c r="B137" t="str">
        <f t="shared" si="8"/>
        <v>2016</v>
      </c>
      <c r="C137" s="23">
        <v>24489</v>
      </c>
      <c r="D137" s="6">
        <v>2016</v>
      </c>
      <c r="E137">
        <v>136</v>
      </c>
      <c r="F137" s="30">
        <v>1.1073678838309451</v>
      </c>
      <c r="G137" s="38">
        <f t="shared" si="9"/>
        <v>22114.601983290479</v>
      </c>
      <c r="H137" s="112">
        <f t="shared" si="10"/>
        <v>10.003993392550166</v>
      </c>
    </row>
    <row r="138" spans="1:8" x14ac:dyDescent="0.35">
      <c r="A138" s="4" t="s">
        <v>130</v>
      </c>
      <c r="B138" t="str">
        <f t="shared" si="8"/>
        <v>2017</v>
      </c>
      <c r="C138" s="23">
        <v>22379</v>
      </c>
      <c r="D138" s="6">
        <v>2017</v>
      </c>
      <c r="E138">
        <v>137</v>
      </c>
      <c r="F138" s="30">
        <v>1.0234185080278571</v>
      </c>
      <c r="G138" s="38">
        <f t="shared" si="9"/>
        <v>21866.909601942487</v>
      </c>
      <c r="H138" s="112">
        <f t="shared" si="10"/>
        <v>9.9927297960472874</v>
      </c>
    </row>
    <row r="139" spans="1:8" x14ac:dyDescent="0.35">
      <c r="A139" s="4" t="s">
        <v>131</v>
      </c>
      <c r="B139" t="str">
        <f t="shared" si="8"/>
        <v>2017</v>
      </c>
      <c r="C139" s="23">
        <v>21234</v>
      </c>
      <c r="D139" s="6">
        <v>2017</v>
      </c>
      <c r="E139">
        <v>138</v>
      </c>
      <c r="F139" s="30">
        <v>0.96778361364008814</v>
      </c>
      <c r="G139" s="38">
        <f t="shared" si="9"/>
        <v>21940.855063802283</v>
      </c>
      <c r="H139" s="112">
        <f t="shared" si="10"/>
        <v>9.9961057058957934</v>
      </c>
    </row>
    <row r="140" spans="1:8" x14ac:dyDescent="0.35">
      <c r="A140" s="4" t="s">
        <v>132</v>
      </c>
      <c r="B140" t="str">
        <f t="shared" si="8"/>
        <v>2017</v>
      </c>
      <c r="C140" s="23">
        <v>23348</v>
      </c>
      <c r="D140" s="6">
        <v>2017</v>
      </c>
      <c r="E140">
        <v>139</v>
      </c>
      <c r="F140" s="30">
        <v>1.0471910079749045</v>
      </c>
      <c r="G140" s="38">
        <f t="shared" si="9"/>
        <v>22295.836979302563</v>
      </c>
      <c r="H140" s="112">
        <f t="shared" si="10"/>
        <v>10.012155257478369</v>
      </c>
    </row>
    <row r="141" spans="1:8" x14ac:dyDescent="0.35">
      <c r="A141" s="4" t="s">
        <v>133</v>
      </c>
      <c r="B141" t="str">
        <f t="shared" si="8"/>
        <v>2017</v>
      </c>
      <c r="C141" s="23">
        <v>22294</v>
      </c>
      <c r="D141" s="6">
        <v>2017</v>
      </c>
      <c r="E141">
        <v>140</v>
      </c>
      <c r="F141" s="30">
        <v>1.0057927338780821</v>
      </c>
      <c r="G141" s="38">
        <f t="shared" si="9"/>
        <v>22165.600574623342</v>
      </c>
      <c r="H141" s="112">
        <f t="shared" si="10"/>
        <v>10.006296842441369</v>
      </c>
    </row>
    <row r="142" spans="1:8" x14ac:dyDescent="0.35">
      <c r="A142" s="5" t="s">
        <v>134</v>
      </c>
      <c r="B142" t="str">
        <f t="shared" si="8"/>
        <v>2017</v>
      </c>
      <c r="C142" s="23">
        <v>23737</v>
      </c>
      <c r="D142" s="6">
        <v>2017</v>
      </c>
      <c r="E142">
        <v>141</v>
      </c>
      <c r="F142" s="30">
        <v>1.0311404366997561</v>
      </c>
      <c r="G142" s="38">
        <f t="shared" si="9"/>
        <v>23020.142703327674</v>
      </c>
      <c r="H142" s="112">
        <f t="shared" si="10"/>
        <v>10.044124881358643</v>
      </c>
    </row>
    <row r="143" spans="1:8" x14ac:dyDescent="0.35">
      <c r="A143" s="4" t="s">
        <v>135</v>
      </c>
      <c r="B143" t="str">
        <f t="shared" si="8"/>
        <v>2017</v>
      </c>
      <c r="C143" s="23">
        <v>23055</v>
      </c>
      <c r="D143" s="6">
        <v>2017</v>
      </c>
      <c r="E143">
        <v>142</v>
      </c>
      <c r="F143" s="30">
        <v>0.99647151229008235</v>
      </c>
      <c r="G143" s="38">
        <f t="shared" si="9"/>
        <v>23136.637340504793</v>
      </c>
      <c r="H143" s="112">
        <f t="shared" si="10"/>
        <v>10.049172672145835</v>
      </c>
    </row>
    <row r="144" spans="1:8" x14ac:dyDescent="0.35">
      <c r="A144" s="4" t="s">
        <v>136</v>
      </c>
      <c r="B144" t="str">
        <f t="shared" si="8"/>
        <v>2017</v>
      </c>
      <c r="C144" s="23">
        <v>22295</v>
      </c>
      <c r="D144" s="6">
        <v>2017</v>
      </c>
      <c r="E144">
        <v>143</v>
      </c>
      <c r="F144" s="30">
        <v>0.99924985141460465</v>
      </c>
      <c r="G144" s="38">
        <f t="shared" si="9"/>
        <v>22311.73711803681</v>
      </c>
      <c r="H144" s="112">
        <f t="shared" si="10"/>
        <v>10.012868147149211</v>
      </c>
    </row>
    <row r="145" spans="1:8" x14ac:dyDescent="0.35">
      <c r="A145" s="4" t="s">
        <v>137</v>
      </c>
      <c r="B145" t="str">
        <f t="shared" si="8"/>
        <v>2017</v>
      </c>
      <c r="C145" s="23">
        <v>23540</v>
      </c>
      <c r="D145" s="6">
        <v>2017</v>
      </c>
      <c r="E145">
        <v>144</v>
      </c>
      <c r="F145" s="30">
        <v>1.0121735261994504</v>
      </c>
      <c r="G145" s="38">
        <f t="shared" si="9"/>
        <v>23256.881740810721</v>
      </c>
      <c r="H145" s="112">
        <f t="shared" si="10"/>
        <v>10.054356356071517</v>
      </c>
    </row>
    <row r="146" spans="1:8" x14ac:dyDescent="0.35">
      <c r="A146" s="4" t="s">
        <v>138</v>
      </c>
      <c r="B146" t="str">
        <f t="shared" si="8"/>
        <v>2017</v>
      </c>
      <c r="C146" s="23">
        <v>22628</v>
      </c>
      <c r="D146" s="6">
        <v>2017</v>
      </c>
      <c r="E146">
        <v>145</v>
      </c>
      <c r="F146" s="30">
        <v>0.98079097156469441</v>
      </c>
      <c r="G146" s="38">
        <f t="shared" si="9"/>
        <v>23071.1748538026</v>
      </c>
      <c r="H146" s="112">
        <f t="shared" si="10"/>
        <v>10.046339275480264</v>
      </c>
    </row>
    <row r="147" spans="1:8" x14ac:dyDescent="0.35">
      <c r="A147" s="4" t="s">
        <v>139</v>
      </c>
      <c r="B147" t="str">
        <f t="shared" si="8"/>
        <v>2017</v>
      </c>
      <c r="C147" s="23">
        <v>24105</v>
      </c>
      <c r="D147" s="6">
        <v>2017</v>
      </c>
      <c r="E147">
        <v>146</v>
      </c>
      <c r="F147" s="30">
        <v>1.0323394347969677</v>
      </c>
      <c r="G147" s="38">
        <f t="shared" si="9"/>
        <v>23349.878138425254</v>
      </c>
      <c r="H147" s="112">
        <f t="shared" si="10"/>
        <v>10.058347044172301</v>
      </c>
    </row>
    <row r="148" spans="1:8" x14ac:dyDescent="0.35">
      <c r="A148" s="4" t="s">
        <v>140</v>
      </c>
      <c r="B148" t="str">
        <f t="shared" si="8"/>
        <v>2017</v>
      </c>
      <c r="C148" s="23">
        <v>23359</v>
      </c>
      <c r="D148" s="6">
        <v>2017</v>
      </c>
      <c r="E148">
        <v>147</v>
      </c>
      <c r="F148" s="30">
        <v>0.9922802514367296</v>
      </c>
      <c r="G148" s="38">
        <f t="shared" si="9"/>
        <v>23540.728505055238</v>
      </c>
      <c r="H148" s="112">
        <f t="shared" si="10"/>
        <v>10.066487327873858</v>
      </c>
    </row>
    <row r="149" spans="1:8" x14ac:dyDescent="0.35">
      <c r="A149" s="4" t="s">
        <v>141</v>
      </c>
      <c r="B149" t="str">
        <f t="shared" si="8"/>
        <v>2017</v>
      </c>
      <c r="C149" s="23">
        <v>25422</v>
      </c>
      <c r="D149" s="6">
        <v>2017</v>
      </c>
      <c r="E149">
        <v>148</v>
      </c>
      <c r="F149" s="30">
        <v>1.1073678838309451</v>
      </c>
      <c r="G149" s="38">
        <f t="shared" si="9"/>
        <v>22957.140414847916</v>
      </c>
      <c r="H149" s="112">
        <f t="shared" si="10"/>
        <v>10.041384296285315</v>
      </c>
    </row>
    <row r="150" spans="1:8" x14ac:dyDescent="0.35">
      <c r="A150" s="4" t="s">
        <v>142</v>
      </c>
      <c r="B150" t="str">
        <f t="shared" si="8"/>
        <v>2018</v>
      </c>
      <c r="C150" s="23">
        <v>24280</v>
      </c>
      <c r="D150" s="6">
        <v>2018</v>
      </c>
      <c r="E150">
        <v>149</v>
      </c>
      <c r="F150" s="30">
        <v>1.0234185080278571</v>
      </c>
      <c r="G150" s="38">
        <f t="shared" si="9"/>
        <v>23724.409720504202</v>
      </c>
      <c r="H150" s="112">
        <f t="shared" si="10"/>
        <v>10.074259743105568</v>
      </c>
    </row>
    <row r="151" spans="1:8" x14ac:dyDescent="0.35">
      <c r="A151" s="4" t="s">
        <v>143</v>
      </c>
      <c r="B151" t="str">
        <f t="shared" si="8"/>
        <v>2018</v>
      </c>
      <c r="C151" s="23">
        <v>22007</v>
      </c>
      <c r="D151" s="6">
        <v>2018</v>
      </c>
      <c r="E151">
        <v>150</v>
      </c>
      <c r="F151" s="30">
        <v>0.96778361364008814</v>
      </c>
      <c r="G151" s="38">
        <f t="shared" si="9"/>
        <v>22739.587331124461</v>
      </c>
      <c r="H151" s="112">
        <f t="shared" si="10"/>
        <v>10.031862619871809</v>
      </c>
    </row>
    <row r="152" spans="1:8" x14ac:dyDescent="0.35">
      <c r="A152" s="4" t="s">
        <v>144</v>
      </c>
      <c r="B152" t="str">
        <f t="shared" si="8"/>
        <v>2018</v>
      </c>
      <c r="C152" s="23">
        <v>24075</v>
      </c>
      <c r="D152" s="6">
        <v>2018</v>
      </c>
      <c r="E152">
        <v>151</v>
      </c>
      <c r="F152" s="30">
        <v>1.0471910079749045</v>
      </c>
      <c r="G152" s="38">
        <f t="shared" si="9"/>
        <v>22990.075178889376</v>
      </c>
      <c r="H152" s="112">
        <f t="shared" si="10"/>
        <v>10.042817887821014</v>
      </c>
    </row>
    <row r="153" spans="1:8" x14ac:dyDescent="0.35">
      <c r="A153" s="4" t="s">
        <v>145</v>
      </c>
      <c r="B153" t="str">
        <f t="shared" si="8"/>
        <v>2018</v>
      </c>
      <c r="C153" s="23">
        <v>23242</v>
      </c>
      <c r="D153" s="6">
        <v>2018</v>
      </c>
      <c r="E153">
        <v>152</v>
      </c>
      <c r="F153" s="30">
        <v>1.0057927338780821</v>
      </c>
      <c r="G153" s="38">
        <f t="shared" si="9"/>
        <v>23108.140690562293</v>
      </c>
      <c r="H153" s="112">
        <f t="shared" si="10"/>
        <v>10.047940245274621</v>
      </c>
    </row>
    <row r="154" spans="1:8" x14ac:dyDescent="0.35">
      <c r="A154" s="5" t="s">
        <v>146</v>
      </c>
      <c r="B154" t="str">
        <f t="shared" si="8"/>
        <v>2018</v>
      </c>
      <c r="C154" s="23">
        <v>24848</v>
      </c>
      <c r="D154" s="6">
        <v>2018</v>
      </c>
      <c r="E154">
        <v>153</v>
      </c>
      <c r="F154" s="30">
        <v>1.0311404366997561</v>
      </c>
      <c r="G154" s="38">
        <f t="shared" si="9"/>
        <v>24097.590508163881</v>
      </c>
      <c r="H154" s="112">
        <f t="shared" si="10"/>
        <v>10.089867135566159</v>
      </c>
    </row>
    <row r="155" spans="1:8" x14ac:dyDescent="0.35">
      <c r="A155" s="4" t="s">
        <v>147</v>
      </c>
      <c r="B155" t="str">
        <f t="shared" si="8"/>
        <v>2018</v>
      </c>
      <c r="C155" s="23">
        <v>23329</v>
      </c>
      <c r="D155" s="6">
        <v>2018</v>
      </c>
      <c r="E155">
        <v>154</v>
      </c>
      <c r="F155" s="30">
        <v>0.99647151229008235</v>
      </c>
      <c r="G155" s="38">
        <f t="shared" si="9"/>
        <v>23411.607569578675</v>
      </c>
      <c r="H155" s="112">
        <f t="shared" si="10"/>
        <v>10.060987228335668</v>
      </c>
    </row>
    <row r="156" spans="1:8" x14ac:dyDescent="0.35">
      <c r="A156" s="4" t="s">
        <v>148</v>
      </c>
      <c r="B156" t="str">
        <f t="shared" si="8"/>
        <v>2018</v>
      </c>
      <c r="C156" s="23">
        <v>23581</v>
      </c>
      <c r="D156" s="6">
        <v>2018</v>
      </c>
      <c r="E156">
        <v>155</v>
      </c>
      <c r="F156" s="30">
        <v>0.99924985141460465</v>
      </c>
      <c r="G156" s="38">
        <f t="shared" si="9"/>
        <v>23598.702533322539</v>
      </c>
      <c r="H156" s="112">
        <f t="shared" si="10"/>
        <v>10.068947012100802</v>
      </c>
    </row>
    <row r="157" spans="1:8" x14ac:dyDescent="0.35">
      <c r="A157" s="4" t="s">
        <v>149</v>
      </c>
      <c r="B157" t="str">
        <f t="shared" si="8"/>
        <v>2018</v>
      </c>
      <c r="C157" s="23">
        <v>24762</v>
      </c>
      <c r="D157" s="6">
        <v>2018</v>
      </c>
      <c r="E157">
        <v>156</v>
      </c>
      <c r="F157" s="30">
        <v>1.0121735261994504</v>
      </c>
      <c r="G157" s="38">
        <f t="shared" si="9"/>
        <v>24464.18460772961</v>
      </c>
      <c r="H157" s="112">
        <f t="shared" si="10"/>
        <v>10.104965474237886</v>
      </c>
    </row>
    <row r="158" spans="1:8" x14ac:dyDescent="0.35">
      <c r="A158" s="4" t="s">
        <v>150</v>
      </c>
      <c r="B158" t="str">
        <f t="shared" si="8"/>
        <v>2018</v>
      </c>
      <c r="C158" s="23">
        <v>22930</v>
      </c>
      <c r="D158" s="6">
        <v>2018</v>
      </c>
      <c r="E158">
        <v>157</v>
      </c>
      <c r="F158" s="30">
        <v>0.98079097156469441</v>
      </c>
      <c r="G158" s="38">
        <f t="shared" si="9"/>
        <v>23379.089596857593</v>
      </c>
      <c r="H158" s="112">
        <f t="shared" si="10"/>
        <v>10.059597294869167</v>
      </c>
    </row>
    <row r="159" spans="1:8" x14ac:dyDescent="0.35">
      <c r="A159" s="4" t="s">
        <v>151</v>
      </c>
      <c r="B159" t="str">
        <f t="shared" si="8"/>
        <v>2018</v>
      </c>
      <c r="C159" s="23">
        <v>25608</v>
      </c>
      <c r="D159" s="6">
        <v>2018</v>
      </c>
      <c r="E159">
        <v>158</v>
      </c>
      <c r="F159" s="30">
        <v>1.0323394347969677</v>
      </c>
      <c r="G159" s="38">
        <f t="shared" si="9"/>
        <v>24805.794622227502</v>
      </c>
      <c r="H159" s="112">
        <f t="shared" si="10"/>
        <v>10.118832558982277</v>
      </c>
    </row>
    <row r="160" spans="1:8" x14ac:dyDescent="0.35">
      <c r="A160" s="4" t="s">
        <v>152</v>
      </c>
      <c r="B160" t="str">
        <f t="shared" si="8"/>
        <v>2018</v>
      </c>
      <c r="C160" s="23">
        <v>24553</v>
      </c>
      <c r="D160" s="6">
        <v>2018</v>
      </c>
      <c r="E160">
        <v>159</v>
      </c>
      <c r="F160" s="30">
        <v>0.9922802514367296</v>
      </c>
      <c r="G160" s="38">
        <f t="shared" si="9"/>
        <v>24744.017594272926</v>
      </c>
      <c r="H160" s="112">
        <f t="shared" si="10"/>
        <v>10.116339025416742</v>
      </c>
    </row>
    <row r="161" spans="1:8" x14ac:dyDescent="0.35">
      <c r="A161" s="4" t="s">
        <v>153</v>
      </c>
      <c r="B161" t="str">
        <f t="shared" si="8"/>
        <v>2018</v>
      </c>
      <c r="C161" s="23">
        <v>25631</v>
      </c>
      <c r="D161" s="6">
        <v>2018</v>
      </c>
      <c r="E161">
        <v>160</v>
      </c>
      <c r="F161" s="30">
        <v>1.1073678838309451</v>
      </c>
      <c r="G161" s="38">
        <f t="shared" si="9"/>
        <v>23145.876247854885</v>
      </c>
      <c r="H161" s="112">
        <f t="shared" si="10"/>
        <v>10.049571911804897</v>
      </c>
    </row>
    <row r="162" spans="1:8" x14ac:dyDescent="0.35">
      <c r="A162" s="4" t="s">
        <v>154</v>
      </c>
      <c r="B162" t="str">
        <f t="shared" ref="B162:B193" si="11">MID(A162,6,4)</f>
        <v>2019</v>
      </c>
      <c r="C162" s="23">
        <v>25037</v>
      </c>
      <c r="D162" s="6">
        <v>2019</v>
      </c>
      <c r="E162">
        <v>161</v>
      </c>
      <c r="F162" s="30">
        <v>1.0234185080278571</v>
      </c>
      <c r="G162" s="38">
        <f t="shared" si="9"/>
        <v>24464.087568874122</v>
      </c>
      <c r="H162" s="112">
        <f t="shared" si="10"/>
        <v>10.104961507661869</v>
      </c>
    </row>
    <row r="163" spans="1:8" x14ac:dyDescent="0.35">
      <c r="A163" s="4" t="s">
        <v>155</v>
      </c>
      <c r="B163" t="str">
        <f t="shared" si="11"/>
        <v>2019</v>
      </c>
      <c r="C163" s="23">
        <v>23240</v>
      </c>
      <c r="D163" s="6">
        <v>2019</v>
      </c>
      <c r="E163">
        <v>162</v>
      </c>
      <c r="F163" s="30">
        <v>0.96778361364008814</v>
      </c>
      <c r="G163" s="38">
        <f t="shared" si="9"/>
        <v>24013.632461277433</v>
      </c>
      <c r="H163" s="112">
        <f t="shared" si="10"/>
        <v>10.086376967288123</v>
      </c>
    </row>
    <row r="164" spans="1:8" x14ac:dyDescent="0.35">
      <c r="A164" s="4" t="s">
        <v>156</v>
      </c>
      <c r="B164" t="str">
        <f t="shared" si="11"/>
        <v>2019</v>
      </c>
      <c r="C164" s="23">
        <v>24577</v>
      </c>
      <c r="D164" s="6">
        <v>2019</v>
      </c>
      <c r="E164">
        <v>163</v>
      </c>
      <c r="F164" s="30">
        <v>1.0471910079749045</v>
      </c>
      <c r="G164" s="38">
        <f t="shared" si="9"/>
        <v>23469.452862785638</v>
      </c>
      <c r="H164" s="112">
        <f t="shared" si="10"/>
        <v>10.063454976378432</v>
      </c>
    </row>
    <row r="165" spans="1:8" x14ac:dyDescent="0.35">
      <c r="A165" s="4" t="s">
        <v>157</v>
      </c>
      <c r="B165" t="str">
        <f t="shared" si="11"/>
        <v>2019</v>
      </c>
      <c r="C165" s="23">
        <v>24806</v>
      </c>
      <c r="D165" s="6">
        <v>2019</v>
      </c>
      <c r="E165">
        <v>164</v>
      </c>
      <c r="F165" s="30">
        <v>1.0057927338780821</v>
      </c>
      <c r="G165" s="38">
        <f t="shared" si="9"/>
        <v>24663.133033735834</v>
      </c>
      <c r="H165" s="112">
        <f t="shared" si="10"/>
        <v>10.113064817867077</v>
      </c>
    </row>
    <row r="166" spans="1:8" x14ac:dyDescent="0.35">
      <c r="A166" s="5" t="s">
        <v>158</v>
      </c>
      <c r="B166" t="str">
        <f t="shared" si="11"/>
        <v>2019</v>
      </c>
      <c r="C166" s="23">
        <v>25717</v>
      </c>
      <c r="D166" s="6">
        <v>2019</v>
      </c>
      <c r="E166">
        <v>165</v>
      </c>
      <c r="F166" s="30">
        <v>1.0311404366997561</v>
      </c>
      <c r="G166" s="38">
        <f t="shared" si="9"/>
        <v>24940.346711946655</v>
      </c>
      <c r="H166" s="112">
        <f t="shared" si="10"/>
        <v>10.124242120979686</v>
      </c>
    </row>
    <row r="167" spans="1:8" x14ac:dyDescent="0.35">
      <c r="A167" s="4" t="s">
        <v>159</v>
      </c>
      <c r="B167" t="str">
        <f t="shared" si="11"/>
        <v>2019</v>
      </c>
      <c r="C167" s="23">
        <v>23745</v>
      </c>
      <c r="D167" s="6">
        <v>2019</v>
      </c>
      <c r="E167">
        <v>166</v>
      </c>
      <c r="F167" s="30">
        <v>0.99647151229008235</v>
      </c>
      <c r="G167" s="38">
        <f t="shared" si="9"/>
        <v>23829.080618099601</v>
      </c>
      <c r="H167" s="112">
        <f t="shared" si="10"/>
        <v>10.07866198848825</v>
      </c>
    </row>
    <row r="168" spans="1:8" x14ac:dyDescent="0.35">
      <c r="A168" s="4" t="s">
        <v>160</v>
      </c>
      <c r="B168" t="str">
        <f t="shared" si="11"/>
        <v>2019</v>
      </c>
      <c r="C168" s="23">
        <v>24531</v>
      </c>
      <c r="D168" s="6">
        <v>2019</v>
      </c>
      <c r="E168">
        <v>167</v>
      </c>
      <c r="F168" s="30">
        <v>0.99924985141460465</v>
      </c>
      <c r="G168" s="38">
        <f t="shared" si="9"/>
        <v>24549.415709466739</v>
      </c>
      <c r="H168" s="112">
        <f t="shared" si="10"/>
        <v>10.108443332917719</v>
      </c>
    </row>
    <row r="169" spans="1:8" x14ac:dyDescent="0.35">
      <c r="A169" s="4" t="s">
        <v>161</v>
      </c>
      <c r="B169" t="str">
        <f t="shared" si="11"/>
        <v>2019</v>
      </c>
      <c r="C169" s="23">
        <v>24710</v>
      </c>
      <c r="D169" s="6">
        <v>2019</v>
      </c>
      <c r="E169">
        <v>168</v>
      </c>
      <c r="F169" s="30">
        <v>1.0121735261994504</v>
      </c>
      <c r="G169" s="38">
        <f t="shared" si="9"/>
        <v>24412.810017647957</v>
      </c>
      <c r="H169" s="112">
        <f t="shared" si="10"/>
        <v>10.102863274239906</v>
      </c>
    </row>
    <row r="170" spans="1:8" x14ac:dyDescent="0.35">
      <c r="A170" s="4" t="s">
        <v>162</v>
      </c>
      <c r="B170" t="str">
        <f t="shared" si="11"/>
        <v>2019</v>
      </c>
      <c r="C170" s="23">
        <v>23630</v>
      </c>
      <c r="D170" s="6">
        <v>2019</v>
      </c>
      <c r="E170">
        <v>169</v>
      </c>
      <c r="F170" s="30">
        <v>0.98079097156469441</v>
      </c>
      <c r="G170" s="38">
        <f t="shared" si="9"/>
        <v>24092.799266190359</v>
      </c>
      <c r="H170" s="112">
        <f t="shared" si="10"/>
        <v>10.089668289198171</v>
      </c>
    </row>
    <row r="171" spans="1:8" x14ac:dyDescent="0.35">
      <c r="A171" s="4" t="s">
        <v>163</v>
      </c>
      <c r="B171" t="str">
        <f t="shared" si="11"/>
        <v>2019</v>
      </c>
      <c r="C171" s="23">
        <v>26097</v>
      </c>
      <c r="D171" s="6">
        <v>2019</v>
      </c>
      <c r="E171">
        <v>170</v>
      </c>
      <c r="F171" s="30">
        <v>1.0323394347969677</v>
      </c>
      <c r="G171" s="38">
        <f t="shared" si="9"/>
        <v>25279.47603312524</v>
      </c>
      <c r="H171" s="112">
        <f t="shared" si="10"/>
        <v>10.137748121508229</v>
      </c>
    </row>
    <row r="172" spans="1:8" x14ac:dyDescent="0.35">
      <c r="A172" s="4" t="s">
        <v>164</v>
      </c>
      <c r="B172" t="str">
        <f t="shared" si="11"/>
        <v>2019</v>
      </c>
      <c r="C172" s="23">
        <v>23964</v>
      </c>
      <c r="D172" s="6">
        <v>2019</v>
      </c>
      <c r="E172">
        <v>171</v>
      </c>
      <c r="F172" s="30">
        <v>0.9922802514367296</v>
      </c>
      <c r="G172" s="38">
        <f t="shared" si="9"/>
        <v>24150.435288117802</v>
      </c>
      <c r="H172" s="112">
        <f t="shared" si="10"/>
        <v>10.092057683270987</v>
      </c>
    </row>
    <row r="173" spans="1:8" x14ac:dyDescent="0.35">
      <c r="A173" s="4" t="s">
        <v>165</v>
      </c>
      <c r="B173" t="str">
        <f t="shared" si="11"/>
        <v>2019</v>
      </c>
      <c r="C173" s="23">
        <v>26509</v>
      </c>
      <c r="D173" s="6">
        <v>2019</v>
      </c>
      <c r="E173">
        <v>172</v>
      </c>
      <c r="F173" s="30">
        <v>1.1073678838309451</v>
      </c>
      <c r="G173" s="38">
        <f t="shared" si="9"/>
        <v>23938.747354936801</v>
      </c>
      <c r="H173" s="112">
        <f t="shared" si="10"/>
        <v>10.083253653387809</v>
      </c>
    </row>
    <row r="174" spans="1:8" x14ac:dyDescent="0.35">
      <c r="A174" s="4" t="s">
        <v>166</v>
      </c>
      <c r="B174" t="str">
        <f t="shared" si="11"/>
        <v>2020</v>
      </c>
      <c r="C174" s="23">
        <v>25209</v>
      </c>
      <c r="D174" s="6">
        <v>2020</v>
      </c>
      <c r="E174">
        <v>173</v>
      </c>
      <c r="F174" s="30">
        <v>1.0234185080278571</v>
      </c>
      <c r="G174" s="38">
        <f t="shared" si="9"/>
        <v>24632.151756350511</v>
      </c>
      <c r="H174" s="112">
        <f t="shared" si="10"/>
        <v>10.111807850528461</v>
      </c>
    </row>
    <row r="175" spans="1:8" x14ac:dyDescent="0.35">
      <c r="A175" s="4" t="s">
        <v>167</v>
      </c>
      <c r="B175" t="str">
        <f t="shared" si="11"/>
        <v>2020</v>
      </c>
      <c r="C175" s="23">
        <v>23934</v>
      </c>
      <c r="D175" s="6">
        <v>2020</v>
      </c>
      <c r="E175">
        <v>174</v>
      </c>
      <c r="F175" s="30">
        <v>0.96778361364008814</v>
      </c>
      <c r="G175" s="38">
        <f t="shared" si="9"/>
        <v>24730.734910852589</v>
      </c>
      <c r="H175" s="112">
        <f t="shared" si="10"/>
        <v>10.115802077455736</v>
      </c>
    </row>
    <row r="176" spans="1:8" x14ac:dyDescent="0.35">
      <c r="A176" s="4" t="s">
        <v>168</v>
      </c>
      <c r="B176" t="str">
        <f t="shared" si="11"/>
        <v>2020</v>
      </c>
      <c r="C176" s="23">
        <v>27839</v>
      </c>
      <c r="D176" s="6">
        <v>2020</v>
      </c>
      <c r="E176">
        <v>175</v>
      </c>
      <c r="F176" s="30">
        <v>1.0471910079749045</v>
      </c>
      <c r="G176" s="38">
        <f t="shared" si="9"/>
        <v>26584.452872486039</v>
      </c>
      <c r="H176" s="112">
        <f t="shared" si="10"/>
        <v>10.188081845417692</v>
      </c>
    </row>
    <row r="177" spans="1:8" x14ac:dyDescent="0.35">
      <c r="A177" s="4" t="s">
        <v>169</v>
      </c>
      <c r="B177" t="str">
        <f t="shared" si="11"/>
        <v>2020</v>
      </c>
      <c r="C177" s="23">
        <v>24749</v>
      </c>
      <c r="D177" s="6">
        <v>2020</v>
      </c>
      <c r="E177">
        <v>176</v>
      </c>
      <c r="F177" s="30">
        <v>1.0057927338780821</v>
      </c>
      <c r="G177" s="38">
        <f t="shared" si="9"/>
        <v>24606.461317904061</v>
      </c>
      <c r="H177" s="112">
        <f t="shared" si="10"/>
        <v>10.110764342631969</v>
      </c>
    </row>
    <row r="178" spans="1:8" x14ac:dyDescent="0.35">
      <c r="A178" s="5" t="s">
        <v>170</v>
      </c>
      <c r="B178" t="str">
        <f t="shared" si="11"/>
        <v>2020</v>
      </c>
      <c r="C178" s="23">
        <v>24923</v>
      </c>
      <c r="D178" s="6">
        <v>2020</v>
      </c>
      <c r="E178">
        <v>177</v>
      </c>
      <c r="F178" s="30">
        <v>1.0311404366997561</v>
      </c>
      <c r="G178" s="38">
        <f t="shared" si="9"/>
        <v>24170.325508490358</v>
      </c>
      <c r="H178" s="112">
        <f t="shared" si="10"/>
        <v>10.092880941066104</v>
      </c>
    </row>
    <row r="179" spans="1:8" x14ac:dyDescent="0.35">
      <c r="A179" s="4" t="s">
        <v>171</v>
      </c>
      <c r="B179" t="str">
        <f t="shared" si="11"/>
        <v>2020</v>
      </c>
      <c r="C179" s="23">
        <v>25841</v>
      </c>
      <c r="D179" s="6">
        <v>2020</v>
      </c>
      <c r="E179">
        <v>178</v>
      </c>
      <c r="F179" s="30">
        <v>0.99647151229008235</v>
      </c>
      <c r="G179" s="38">
        <f t="shared" si="9"/>
        <v>25932.502516416585</v>
      </c>
      <c r="H179" s="112">
        <f t="shared" si="10"/>
        <v>10.163252384343155</v>
      </c>
    </row>
    <row r="180" spans="1:8" x14ac:dyDescent="0.35">
      <c r="A180" s="4" t="s">
        <v>172</v>
      </c>
      <c r="B180" t="str">
        <f t="shared" si="11"/>
        <v>2020</v>
      </c>
      <c r="C180" s="23">
        <v>26334</v>
      </c>
      <c r="D180" s="6">
        <v>2020</v>
      </c>
      <c r="E180">
        <v>179</v>
      </c>
      <c r="F180" s="30">
        <v>0.99924985141460465</v>
      </c>
      <c r="G180" s="38">
        <f t="shared" si="9"/>
        <v>26353.769242717259</v>
      </c>
      <c r="H180" s="112">
        <f t="shared" si="10"/>
        <v>10.179366589003923</v>
      </c>
    </row>
    <row r="181" spans="1:8" x14ac:dyDescent="0.35">
      <c r="A181" s="4" t="s">
        <v>173</v>
      </c>
      <c r="B181" t="str">
        <f t="shared" si="11"/>
        <v>2020</v>
      </c>
      <c r="C181" s="23">
        <v>25913</v>
      </c>
      <c r="D181" s="6">
        <v>2020</v>
      </c>
      <c r="E181">
        <v>180</v>
      </c>
      <c r="F181" s="30">
        <v>1.0121735261994504</v>
      </c>
      <c r="G181" s="38">
        <f t="shared" si="9"/>
        <v>25601.341399729321</v>
      </c>
      <c r="H181" s="112">
        <f t="shared" si="10"/>
        <v>10.150400027521831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C603-567C-4F4B-B075-0728BF198833}">
  <dimension ref="A1:Z204"/>
  <sheetViews>
    <sheetView tabSelected="1" zoomScale="80" zoomScaleNormal="80" workbookViewId="0">
      <selection activeCell="R3" sqref="R3"/>
    </sheetView>
  </sheetViews>
  <sheetFormatPr defaultRowHeight="14.5" x14ac:dyDescent="0.35"/>
  <cols>
    <col min="1" max="1" width="16.36328125" style="8" customWidth="1"/>
    <col min="2" max="2" width="15" style="8" customWidth="1"/>
    <col min="3" max="3" width="13.54296875" style="8" bestFit="1" customWidth="1"/>
    <col min="4" max="4" width="12.81640625" style="8" customWidth="1"/>
    <col min="5" max="5" width="15.6328125" style="8" bestFit="1" customWidth="1"/>
    <col min="6" max="6" width="12.54296875" style="8" bestFit="1" customWidth="1"/>
    <col min="7" max="7" width="22.08984375" style="8" bestFit="1" customWidth="1"/>
    <col min="8" max="8" width="12.08984375" style="8" bestFit="1" customWidth="1"/>
    <col min="9" max="9" width="13.6328125" style="8" bestFit="1" customWidth="1"/>
    <col min="10" max="10" width="12.36328125" style="8" bestFit="1" customWidth="1"/>
    <col min="11" max="11" width="22.7265625" style="8" bestFit="1" customWidth="1"/>
    <col min="12" max="12" width="15.1796875" style="8" bestFit="1" customWidth="1"/>
    <col min="13" max="13" width="12.08984375" style="8" bestFit="1" customWidth="1"/>
    <col min="14" max="16384" width="8.7265625" style="8"/>
  </cols>
  <sheetData>
    <row r="1" spans="1:26" ht="15" thickBot="1" x14ac:dyDescent="0.4">
      <c r="A1" s="8" t="s">
        <v>185</v>
      </c>
      <c r="H1" s="56" t="s">
        <v>176</v>
      </c>
      <c r="I1" s="58" t="s">
        <v>184</v>
      </c>
      <c r="J1" s="58" t="s">
        <v>240</v>
      </c>
      <c r="K1" s="58" t="s">
        <v>238</v>
      </c>
      <c r="L1" s="58" t="s">
        <v>229</v>
      </c>
      <c r="M1" s="59" t="s">
        <v>239</v>
      </c>
    </row>
    <row r="2" spans="1:26" ht="15" thickBot="1" x14ac:dyDescent="0.4">
      <c r="H2" s="46">
        <v>44075</v>
      </c>
      <c r="I2" s="47">
        <v>181</v>
      </c>
      <c r="J2" s="48">
        <f>$B$17+$B$18*I2</f>
        <v>10.142085434926933</v>
      </c>
      <c r="K2" s="48">
        <f>EXP(J2)</f>
        <v>25389.359170281467</v>
      </c>
      <c r="L2" s="49">
        <v>0.98079097156469441</v>
      </c>
      <c r="M2" s="50">
        <f>L2*K2</f>
        <v>24901.654248025345</v>
      </c>
    </row>
    <row r="3" spans="1:26" ht="15" thickBot="1" x14ac:dyDescent="0.4">
      <c r="A3" s="9" t="s">
        <v>186</v>
      </c>
      <c r="B3" s="9"/>
      <c r="H3" s="46">
        <v>44105</v>
      </c>
      <c r="I3" s="47">
        <v>182</v>
      </c>
      <c r="J3" s="48">
        <f t="shared" ref="J3:J13" si="0">$B$17+$B$18*I3</f>
        <v>10.144848219402254</v>
      </c>
      <c r="K3" s="48">
        <f t="shared" ref="K3:K13" si="1">EXP(J3)</f>
        <v>25459.60148514414</v>
      </c>
      <c r="L3" s="49">
        <v>1.0323394347969677</v>
      </c>
      <c r="M3" s="50">
        <f t="shared" ref="M3:M13" si="2">L3*K3</f>
        <v>26282.950607329738</v>
      </c>
    </row>
    <row r="4" spans="1:26" ht="15" customHeight="1" thickBot="1" x14ac:dyDescent="0.4">
      <c r="A4" s="10" t="s">
        <v>187</v>
      </c>
      <c r="B4" s="10">
        <v>0.98432030854123509</v>
      </c>
      <c r="D4" s="140" t="s">
        <v>249</v>
      </c>
      <c r="E4" s="141"/>
      <c r="F4" s="142"/>
      <c r="H4" s="46">
        <v>44136</v>
      </c>
      <c r="I4" s="47">
        <v>183</v>
      </c>
      <c r="J4" s="48">
        <f t="shared" si="0"/>
        <v>10.147611003877575</v>
      </c>
      <c r="K4" s="48">
        <f t="shared" si="1"/>
        <v>25530.038132709902</v>
      </c>
      <c r="L4" s="49">
        <v>0.9922802514367296</v>
      </c>
      <c r="M4" s="50">
        <f t="shared" si="2"/>
        <v>25332.952657514677</v>
      </c>
    </row>
    <row r="5" spans="1:26" x14ac:dyDescent="0.35">
      <c r="A5" s="10" t="s">
        <v>188</v>
      </c>
      <c r="B5" s="10">
        <v>0.96888646980671234</v>
      </c>
      <c r="H5" s="46">
        <v>44166</v>
      </c>
      <c r="I5" s="47">
        <v>184</v>
      </c>
      <c r="J5" s="48">
        <f t="shared" si="0"/>
        <v>10.150373788352894</v>
      </c>
      <c r="K5" s="48">
        <f t="shared" si="1"/>
        <v>25600.669650620435</v>
      </c>
      <c r="L5" s="49">
        <v>1.1073678838309451</v>
      </c>
      <c r="M5" s="50">
        <f t="shared" si="2"/>
        <v>28349.359375662651</v>
      </c>
    </row>
    <row r="6" spans="1:26" ht="18.5" x14ac:dyDescent="0.45">
      <c r="A6" s="10" t="s">
        <v>189</v>
      </c>
      <c r="B6" s="106">
        <v>0.96871167469326691</v>
      </c>
      <c r="H6" s="46">
        <v>44197</v>
      </c>
      <c r="I6" s="47">
        <v>185</v>
      </c>
      <c r="J6" s="48">
        <f t="shared" si="0"/>
        <v>10.153136572828215</v>
      </c>
      <c r="K6" s="48">
        <f t="shared" si="1"/>
        <v>25671.496578005001</v>
      </c>
      <c r="L6" s="49">
        <v>1.0234185080278571</v>
      </c>
      <c r="M6" s="50">
        <f t="shared" si="2"/>
        <v>26272.684726704116</v>
      </c>
      <c r="O6" s="143" t="s">
        <v>250</v>
      </c>
      <c r="P6" s="143"/>
      <c r="Q6" s="143"/>
      <c r="R6" s="143"/>
      <c r="S6" s="143"/>
      <c r="T6" s="143"/>
      <c r="U6" s="143"/>
      <c r="V6" s="143"/>
      <c r="W6" s="143"/>
      <c r="X6" s="143"/>
      <c r="Y6" s="143"/>
      <c r="Z6" s="143"/>
    </row>
    <row r="7" spans="1:26" x14ac:dyDescent="0.35">
      <c r="A7" s="10" t="s">
        <v>190</v>
      </c>
      <c r="B7" s="24">
        <v>2.5869416764918472E-2</v>
      </c>
      <c r="H7" s="46">
        <v>44228</v>
      </c>
      <c r="I7" s="47">
        <v>186</v>
      </c>
      <c r="J7" s="48">
        <f t="shared" si="0"/>
        <v>10.155899357303534</v>
      </c>
      <c r="K7" s="48">
        <f t="shared" si="1"/>
        <v>25742.519455484235</v>
      </c>
      <c r="L7" s="49">
        <v>0.96778361364008814</v>
      </c>
      <c r="M7" s="50">
        <f t="shared" si="2"/>
        <v>24913.188502828805</v>
      </c>
      <c r="O7" s="143"/>
      <c r="P7" s="143"/>
      <c r="Q7" s="143"/>
      <c r="R7" s="143"/>
      <c r="S7" s="143"/>
      <c r="T7" s="143"/>
      <c r="U7" s="143"/>
      <c r="V7" s="143"/>
      <c r="W7" s="143"/>
      <c r="X7" s="143"/>
      <c r="Y7" s="143"/>
      <c r="Z7" s="143"/>
    </row>
    <row r="8" spans="1:26" ht="15" thickBot="1" x14ac:dyDescent="0.4">
      <c r="A8" s="11" t="s">
        <v>191</v>
      </c>
      <c r="B8" s="11">
        <v>180</v>
      </c>
      <c r="H8" s="46">
        <v>44256</v>
      </c>
      <c r="I8" s="47">
        <v>187</v>
      </c>
      <c r="J8" s="48">
        <f t="shared" si="0"/>
        <v>10.158662141778855</v>
      </c>
      <c r="K8" s="48">
        <f t="shared" si="1"/>
        <v>25813.738825174634</v>
      </c>
      <c r="L8" s="49">
        <v>1.0471910079749045</v>
      </c>
      <c r="M8" s="50">
        <f t="shared" si="2"/>
        <v>27031.915179935553</v>
      </c>
      <c r="O8" s="143"/>
      <c r="P8" s="143"/>
      <c r="Q8" s="143"/>
      <c r="R8" s="143"/>
      <c r="S8" s="143"/>
      <c r="T8" s="143"/>
      <c r="U8" s="143"/>
      <c r="V8" s="143"/>
      <c r="W8" s="143"/>
      <c r="X8" s="143"/>
      <c r="Y8" s="143"/>
      <c r="Z8" s="143"/>
    </row>
    <row r="9" spans="1:26" x14ac:dyDescent="0.35">
      <c r="H9" s="46">
        <v>44287</v>
      </c>
      <c r="I9" s="47">
        <v>188</v>
      </c>
      <c r="J9" s="48">
        <f t="shared" si="0"/>
        <v>10.161424926254176</v>
      </c>
      <c r="K9" s="48">
        <f t="shared" si="1"/>
        <v>25885.155230692388</v>
      </c>
      <c r="L9" s="49">
        <v>1.0057927338780821</v>
      </c>
      <c r="M9" s="50">
        <f t="shared" si="2"/>
        <v>26035.101046336633</v>
      </c>
      <c r="O9" s="143"/>
      <c r="P9" s="143"/>
      <c r="Q9" s="143"/>
      <c r="R9" s="143"/>
      <c r="S9" s="143"/>
      <c r="T9" s="143"/>
      <c r="U9" s="143"/>
      <c r="V9" s="143"/>
      <c r="W9" s="143"/>
      <c r="X9" s="143"/>
      <c r="Y9" s="143"/>
      <c r="Z9" s="143"/>
    </row>
    <row r="10" spans="1:26" ht="15" thickBot="1" x14ac:dyDescent="0.4">
      <c r="A10" s="8" t="s">
        <v>192</v>
      </c>
      <c r="H10" s="46">
        <v>44317</v>
      </c>
      <c r="I10" s="47">
        <v>189</v>
      </c>
      <c r="J10" s="48">
        <f t="shared" si="0"/>
        <v>10.164187710729495</v>
      </c>
      <c r="K10" s="48">
        <f t="shared" si="1"/>
        <v>25956.769217157656</v>
      </c>
      <c r="L10" s="49">
        <v>1.0311404366997561</v>
      </c>
      <c r="M10" s="50">
        <f t="shared" si="2"/>
        <v>26765.074345894733</v>
      </c>
      <c r="O10" s="143"/>
      <c r="P10" s="143"/>
      <c r="Q10" s="143"/>
      <c r="R10" s="143"/>
      <c r="S10" s="143"/>
      <c r="T10" s="143"/>
      <c r="U10" s="143"/>
      <c r="V10" s="143"/>
      <c r="W10" s="143"/>
      <c r="X10" s="143"/>
      <c r="Y10" s="143"/>
      <c r="Z10" s="143"/>
    </row>
    <row r="11" spans="1:26" x14ac:dyDescent="0.35">
      <c r="A11" s="12"/>
      <c r="B11" s="12" t="s">
        <v>197</v>
      </c>
      <c r="C11" s="12" t="s">
        <v>198</v>
      </c>
      <c r="D11" s="12" t="s">
        <v>199</v>
      </c>
      <c r="E11" s="12" t="s">
        <v>200</v>
      </c>
      <c r="F11" s="12" t="s">
        <v>201</v>
      </c>
      <c r="H11" s="46">
        <v>44348</v>
      </c>
      <c r="I11" s="47">
        <v>190</v>
      </c>
      <c r="J11" s="48">
        <f t="shared" si="0"/>
        <v>10.166950495204816</v>
      </c>
      <c r="K11" s="48">
        <f t="shared" si="1"/>
        <v>26028.58133119886</v>
      </c>
      <c r="L11" s="49">
        <v>0.99647151229008235</v>
      </c>
      <c r="M11" s="50">
        <f t="shared" si="2"/>
        <v>25936.739801865133</v>
      </c>
      <c r="O11" s="143"/>
      <c r="P11" s="143"/>
      <c r="Q11" s="143"/>
      <c r="R11" s="143"/>
      <c r="S11" s="143"/>
      <c r="T11" s="143"/>
      <c r="U11" s="143"/>
      <c r="V11" s="143"/>
      <c r="W11" s="143"/>
      <c r="X11" s="143"/>
      <c r="Y11" s="143"/>
      <c r="Z11" s="143"/>
    </row>
    <row r="12" spans="1:26" x14ac:dyDescent="0.35">
      <c r="A12" s="10" t="s">
        <v>193</v>
      </c>
      <c r="B12" s="10">
        <v>1</v>
      </c>
      <c r="C12" s="10">
        <v>3.7095128410650919</v>
      </c>
      <c r="D12" s="10">
        <v>3.7095128410650919</v>
      </c>
      <c r="E12" s="10">
        <v>5542.9837294001845</v>
      </c>
      <c r="F12" s="10">
        <v>4.5226501068923086E-136</v>
      </c>
      <c r="H12" s="46">
        <v>44378</v>
      </c>
      <c r="I12" s="47">
        <v>191</v>
      </c>
      <c r="J12" s="48">
        <f t="shared" si="0"/>
        <v>10.169713279680135</v>
      </c>
      <c r="K12" s="48">
        <f t="shared" si="1"/>
        <v>26100.592120956549</v>
      </c>
      <c r="L12" s="49">
        <v>0.99924985141460465</v>
      </c>
      <c r="M12" s="50">
        <f t="shared" si="2"/>
        <v>26081.012798699034</v>
      </c>
      <c r="O12" s="143"/>
      <c r="P12" s="143"/>
      <c r="Q12" s="143"/>
      <c r="R12" s="143"/>
      <c r="S12" s="143"/>
      <c r="T12" s="143"/>
      <c r="U12" s="143"/>
      <c r="V12" s="143"/>
      <c r="W12" s="143"/>
      <c r="X12" s="143"/>
      <c r="Y12" s="143"/>
      <c r="Z12" s="143"/>
    </row>
    <row r="13" spans="1:26" ht="15" thickBot="1" x14ac:dyDescent="0.4">
      <c r="A13" s="10" t="s">
        <v>194</v>
      </c>
      <c r="B13" s="10">
        <v>178</v>
      </c>
      <c r="C13" s="10">
        <v>0.11912235682875401</v>
      </c>
      <c r="D13" s="10">
        <v>6.6922672375704494E-4</v>
      </c>
      <c r="E13" s="10"/>
      <c r="F13" s="10"/>
      <c r="H13" s="51">
        <v>44409</v>
      </c>
      <c r="I13" s="52">
        <v>192</v>
      </c>
      <c r="J13" s="53">
        <f t="shared" si="0"/>
        <v>10.172476064155456</v>
      </c>
      <c r="K13" s="53">
        <f t="shared" si="1"/>
        <v>26172.802136087943</v>
      </c>
      <c r="L13" s="54">
        <v>1.0121735261994504</v>
      </c>
      <c r="M13" s="55">
        <f t="shared" si="2"/>
        <v>26491.417428604644</v>
      </c>
      <c r="O13" s="143"/>
      <c r="P13" s="143"/>
      <c r="Q13" s="143"/>
      <c r="R13" s="143"/>
      <c r="S13" s="143"/>
      <c r="T13" s="143"/>
      <c r="U13" s="143"/>
      <c r="V13" s="143"/>
      <c r="W13" s="143"/>
      <c r="X13" s="143"/>
      <c r="Y13" s="143"/>
      <c r="Z13" s="143"/>
    </row>
    <row r="14" spans="1:26" ht="15" thickBot="1" x14ac:dyDescent="0.4">
      <c r="A14" s="11" t="s">
        <v>195</v>
      </c>
      <c r="B14" s="11">
        <v>179</v>
      </c>
      <c r="C14" s="11">
        <v>3.828635197893846</v>
      </c>
      <c r="D14" s="11"/>
      <c r="E14" s="11"/>
      <c r="F14" s="11"/>
      <c r="L14" s="56" t="s">
        <v>195</v>
      </c>
      <c r="M14" s="57">
        <f>SUM(M2:M13)</f>
        <v>314394.05071940104</v>
      </c>
      <c r="N14" s="40" t="s">
        <v>241</v>
      </c>
    </row>
    <row r="15" spans="1:26" ht="15" thickBot="1" x14ac:dyDescent="0.4"/>
    <row r="16" spans="1:26" x14ac:dyDescent="0.35">
      <c r="A16" s="12"/>
      <c r="B16" s="12" t="s">
        <v>202</v>
      </c>
      <c r="C16" s="12" t="s">
        <v>190</v>
      </c>
      <c r="D16" s="12" t="s">
        <v>203</v>
      </c>
      <c r="E16" s="12" t="s">
        <v>204</v>
      </c>
      <c r="F16" s="12" t="s">
        <v>205</v>
      </c>
      <c r="G16" s="12" t="s">
        <v>206</v>
      </c>
    </row>
    <row r="17" spans="1:11" x14ac:dyDescent="0.35">
      <c r="A17" s="10" t="s">
        <v>196</v>
      </c>
      <c r="B17" s="24">
        <v>9.6420214448939934</v>
      </c>
      <c r="C17" s="24">
        <v>3.8725092896472564E-3</v>
      </c>
      <c r="D17" s="10">
        <v>2489.8639935276378</v>
      </c>
      <c r="E17" s="15">
        <v>0</v>
      </c>
      <c r="F17" s="24">
        <v>9.634379509071076</v>
      </c>
      <c r="G17" s="24">
        <v>9.6496633807169108</v>
      </c>
    </row>
    <row r="18" spans="1:11" ht="15" thickBot="1" x14ac:dyDescent="0.4">
      <c r="A18" s="11" t="s">
        <v>184</v>
      </c>
      <c r="B18" s="25">
        <v>2.7627844753201156E-3</v>
      </c>
      <c r="C18" s="25">
        <v>3.7108654263883906E-5</v>
      </c>
      <c r="D18" s="11">
        <v>74.451217111610617</v>
      </c>
      <c r="E18" s="39">
        <v>4.522650106892566E-136</v>
      </c>
      <c r="F18" s="25">
        <v>2.6895549661960015E-3</v>
      </c>
      <c r="G18" s="25">
        <v>2.8360139844442298E-3</v>
      </c>
    </row>
    <row r="21" spans="1:11" ht="15" thickBot="1" x14ac:dyDescent="0.4"/>
    <row r="22" spans="1:11" ht="15.5" x14ac:dyDescent="0.35">
      <c r="A22" s="8" t="s">
        <v>207</v>
      </c>
      <c r="J22" s="107" t="s">
        <v>234</v>
      </c>
      <c r="K22" s="108">
        <f>AVERAGE(I25:I204)</f>
        <v>279954.77016123838</v>
      </c>
    </row>
    <row r="23" spans="1:11" ht="16" thickBot="1" x14ac:dyDescent="0.4">
      <c r="J23" s="109" t="s">
        <v>235</v>
      </c>
      <c r="K23" s="110">
        <f>SQRT(K22)</f>
        <v>529.1075223064197</v>
      </c>
    </row>
    <row r="24" spans="1:11" x14ac:dyDescent="0.35">
      <c r="A24" s="12" t="s">
        <v>208</v>
      </c>
      <c r="B24" s="45" t="s">
        <v>237</v>
      </c>
      <c r="C24" s="45" t="s">
        <v>210</v>
      </c>
      <c r="D24" s="45" t="s">
        <v>238</v>
      </c>
      <c r="E24" s="12" t="s">
        <v>229</v>
      </c>
      <c r="F24" s="45" t="s">
        <v>239</v>
      </c>
      <c r="G24" s="45" t="s">
        <v>4</v>
      </c>
      <c r="H24" s="45" t="s">
        <v>232</v>
      </c>
      <c r="I24" s="45" t="s">
        <v>233</v>
      </c>
    </row>
    <row r="25" spans="1:11" x14ac:dyDescent="0.35">
      <c r="A25" s="10">
        <v>1</v>
      </c>
      <c r="B25" s="24">
        <v>9.6447842293693142</v>
      </c>
      <c r="C25" s="24">
        <v>-3.558463280675106E-2</v>
      </c>
      <c r="D25" s="37">
        <f>EXP(B25)</f>
        <v>15441.040780482968</v>
      </c>
      <c r="E25" s="36">
        <v>0.98079097156469441</v>
      </c>
      <c r="F25" s="37">
        <f>E25*D25</f>
        <v>15144.433389059957</v>
      </c>
      <c r="G25" s="18">
        <v>14615</v>
      </c>
      <c r="H25" s="37">
        <f>G25-F25</f>
        <v>-529.43338905995734</v>
      </c>
      <c r="I25" s="37">
        <f>H25*H25</f>
        <v>280299.71345151216</v>
      </c>
    </row>
    <row r="26" spans="1:11" x14ac:dyDescent="0.35">
      <c r="A26" s="10">
        <v>2</v>
      </c>
      <c r="B26" s="24">
        <v>9.6475470138446333</v>
      </c>
      <c r="C26" s="24">
        <v>-7.3888788834562291E-2</v>
      </c>
      <c r="D26" s="37">
        <f t="shared" ref="D26:D89" si="3">EXP(B26)</f>
        <v>15483.760033105104</v>
      </c>
      <c r="E26" s="36">
        <v>1.0323394347969677</v>
      </c>
      <c r="F26" s="37">
        <f t="shared" ref="F26:F89" si="4">E26*D26</f>
        <v>15984.4960811076</v>
      </c>
      <c r="G26" s="18">
        <v>14846</v>
      </c>
      <c r="H26" s="37">
        <f t="shared" ref="H26:H89" si="5">G26-F26</f>
        <v>-1138.4960811075998</v>
      </c>
      <c r="I26" s="37">
        <f t="shared" ref="I26:I89" si="6">H26*H26</f>
        <v>1296173.3266973626</v>
      </c>
    </row>
    <row r="27" spans="1:11" x14ac:dyDescent="0.35">
      <c r="A27" s="10">
        <v>3</v>
      </c>
      <c r="B27" s="24">
        <v>9.6503097983199542</v>
      </c>
      <c r="C27" s="24">
        <v>-3.445082480290651E-2</v>
      </c>
      <c r="D27" s="37">
        <f t="shared" si="3"/>
        <v>15526.597473003016</v>
      </c>
      <c r="E27" s="36">
        <v>0.9922802514367296</v>
      </c>
      <c r="F27" s="37">
        <f t="shared" si="4"/>
        <v>15406.736044468324</v>
      </c>
      <c r="G27" s="18">
        <v>14885</v>
      </c>
      <c r="H27" s="37">
        <f t="shared" si="5"/>
        <v>-521.7360444683236</v>
      </c>
      <c r="I27" s="37">
        <f t="shared" si="6"/>
        <v>272208.50009745255</v>
      </c>
    </row>
    <row r="28" spans="1:11" x14ac:dyDescent="0.35">
      <c r="A28" s="10">
        <v>4</v>
      </c>
      <c r="B28" s="24">
        <v>9.6530725827952732</v>
      </c>
      <c r="C28" s="24">
        <v>-8.049340664880944E-3</v>
      </c>
      <c r="D28" s="37">
        <f t="shared" si="3"/>
        <v>15569.553427154098</v>
      </c>
      <c r="E28" s="36">
        <v>1.1073678838309451</v>
      </c>
      <c r="F28" s="37">
        <f t="shared" si="4"/>
        <v>17241.223430820472</v>
      </c>
      <c r="G28" s="18">
        <v>17103</v>
      </c>
      <c r="H28" s="37">
        <f t="shared" si="5"/>
        <v>-138.22343082047155</v>
      </c>
      <c r="I28" s="37">
        <f t="shared" si="6"/>
        <v>19105.716827781685</v>
      </c>
    </row>
    <row r="29" spans="1:11" x14ac:dyDescent="0.35">
      <c r="A29" s="10">
        <v>5</v>
      </c>
      <c r="B29" s="24">
        <v>9.6558353672705941</v>
      </c>
      <c r="C29" s="24">
        <v>-4.6190176225259449E-2</v>
      </c>
      <c r="D29" s="37">
        <f t="shared" si="3"/>
        <v>15612.62822344047</v>
      </c>
      <c r="E29" s="36">
        <v>1.0234185080278571</v>
      </c>
      <c r="F29" s="37">
        <f t="shared" si="4"/>
        <v>15978.252682827058</v>
      </c>
      <c r="G29" s="18">
        <v>15257</v>
      </c>
      <c r="H29" s="37">
        <f t="shared" si="5"/>
        <v>-721.25268282705838</v>
      </c>
      <c r="I29" s="37">
        <f t="shared" si="6"/>
        <v>520205.43248522928</v>
      </c>
    </row>
    <row r="30" spans="1:11" x14ac:dyDescent="0.35">
      <c r="A30" s="10">
        <v>6</v>
      </c>
      <c r="B30" s="24">
        <v>9.6585981517459132</v>
      </c>
      <c r="C30" s="24">
        <v>-3.1541975684177714E-2</v>
      </c>
      <c r="D30" s="37">
        <f t="shared" si="3"/>
        <v>15655.822190651257</v>
      </c>
      <c r="E30" s="36">
        <v>0.96778361364008814</v>
      </c>
      <c r="F30" s="37">
        <f t="shared" si="4"/>
        <v>15151.448174175155</v>
      </c>
      <c r="G30" s="18">
        <v>14681</v>
      </c>
      <c r="H30" s="37">
        <f t="shared" si="5"/>
        <v>-470.44817417515515</v>
      </c>
      <c r="I30" s="37">
        <f t="shared" si="6"/>
        <v>221321.4845847371</v>
      </c>
    </row>
    <row r="31" spans="1:11" x14ac:dyDescent="0.35">
      <c r="A31" s="10">
        <v>7</v>
      </c>
      <c r="B31" s="24">
        <v>9.661360936221234</v>
      </c>
      <c r="C31" s="24">
        <v>-1.6311991410779214E-2</v>
      </c>
      <c r="D31" s="37">
        <f t="shared" si="3"/>
        <v>15699.135658485333</v>
      </c>
      <c r="E31" s="36">
        <v>1.0471910079749045</v>
      </c>
      <c r="F31" s="37">
        <f t="shared" si="4"/>
        <v>16439.99369454402</v>
      </c>
      <c r="G31" s="18">
        <v>16174</v>
      </c>
      <c r="H31" s="37">
        <f t="shared" si="5"/>
        <v>-265.9936945440204</v>
      </c>
      <c r="I31" s="37">
        <f t="shared" si="6"/>
        <v>70752.645537177625</v>
      </c>
    </row>
    <row r="32" spans="1:11" x14ac:dyDescent="0.35">
      <c r="A32" s="10">
        <v>8</v>
      </c>
      <c r="B32" s="24">
        <v>9.6641237206965549</v>
      </c>
      <c r="C32" s="24">
        <v>-3.9205648626655432E-2</v>
      </c>
      <c r="D32" s="37">
        <f t="shared" si="3"/>
        <v>15742.568957553625</v>
      </c>
      <c r="E32" s="36">
        <v>1.0057927338780821</v>
      </c>
      <c r="F32" s="37">
        <f t="shared" si="4"/>
        <v>15833.76147008209</v>
      </c>
      <c r="G32" s="18">
        <v>15225</v>
      </c>
      <c r="H32" s="37">
        <f t="shared" si="5"/>
        <v>-608.76147008209045</v>
      </c>
      <c r="I32" s="37">
        <f t="shared" si="6"/>
        <v>370590.5274565079</v>
      </c>
    </row>
    <row r="33" spans="1:9" x14ac:dyDescent="0.35">
      <c r="A33" s="10">
        <v>9</v>
      </c>
      <c r="B33" s="24">
        <v>9.666886505171874</v>
      </c>
      <c r="C33" s="24">
        <v>-4.1225385486320931E-4</v>
      </c>
      <c r="D33" s="37">
        <f t="shared" si="3"/>
        <v>15786.12241938174</v>
      </c>
      <c r="E33" s="36">
        <v>1.0311404366997561</v>
      </c>
      <c r="F33" s="37">
        <f t="shared" si="4"/>
        <v>16277.709165317097</v>
      </c>
      <c r="G33" s="18">
        <v>16271</v>
      </c>
      <c r="H33" s="37">
        <f t="shared" si="5"/>
        <v>-6.7091653170973586</v>
      </c>
      <c r="I33" s="37">
        <f t="shared" si="6"/>
        <v>45.012899252142098</v>
      </c>
    </row>
    <row r="34" spans="1:9" x14ac:dyDescent="0.35">
      <c r="A34" s="10">
        <v>10</v>
      </c>
      <c r="B34" s="24">
        <v>9.6696492896471948</v>
      </c>
      <c r="C34" s="24">
        <v>-3.4254961589699207E-3</v>
      </c>
      <c r="D34" s="37">
        <f t="shared" si="3"/>
        <v>15829.79637641256</v>
      </c>
      <c r="E34" s="36">
        <v>0.99647151229008235</v>
      </c>
      <c r="F34" s="37">
        <f t="shared" si="4"/>
        <v>15773.941134447889</v>
      </c>
      <c r="G34" s="18">
        <v>15720</v>
      </c>
      <c r="H34" s="37">
        <f t="shared" si="5"/>
        <v>-53.941134447888544</v>
      </c>
      <c r="I34" s="37">
        <f t="shared" si="6"/>
        <v>2909.6459855251883</v>
      </c>
    </row>
    <row r="35" spans="1:9" x14ac:dyDescent="0.35">
      <c r="A35" s="10">
        <v>11</v>
      </c>
      <c r="B35" s="24">
        <v>9.6724120741225139</v>
      </c>
      <c r="C35" s="24">
        <v>-2.7851967540936329E-2</v>
      </c>
      <c r="D35" s="37">
        <f t="shared" si="3"/>
        <v>15873.591162008597</v>
      </c>
      <c r="E35" s="36">
        <v>0.99924985141460465</v>
      </c>
      <c r="F35" s="37">
        <f t="shared" si="4"/>
        <v>15861.683610053273</v>
      </c>
      <c r="G35" s="18">
        <v>15426</v>
      </c>
      <c r="H35" s="37">
        <f t="shared" si="5"/>
        <v>-435.68361005327279</v>
      </c>
      <c r="I35" s="37">
        <f t="shared" si="6"/>
        <v>189820.20806905226</v>
      </c>
    </row>
    <row r="36" spans="1:9" x14ac:dyDescent="0.35">
      <c r="A36" s="10">
        <v>12</v>
      </c>
      <c r="B36" s="24">
        <v>9.6751748585978348</v>
      </c>
      <c r="C36" s="24">
        <v>-1.1973502709050621E-3</v>
      </c>
      <c r="D36" s="37">
        <f t="shared" si="3"/>
        <v>15917.507110454759</v>
      </c>
      <c r="E36" s="36">
        <v>1.0121735261994504</v>
      </c>
      <c r="F36" s="37">
        <f t="shared" si="4"/>
        <v>16111.279300293818</v>
      </c>
      <c r="G36" s="18">
        <v>16092</v>
      </c>
      <c r="H36" s="37">
        <f t="shared" si="5"/>
        <v>-19.279300293817869</v>
      </c>
      <c r="I36" s="37">
        <f t="shared" si="6"/>
        <v>371.69141981920575</v>
      </c>
    </row>
    <row r="37" spans="1:9" x14ac:dyDescent="0.35">
      <c r="A37" s="10">
        <v>13</v>
      </c>
      <c r="B37" s="24">
        <v>9.6779376430731556</v>
      </c>
      <c r="C37" s="24">
        <v>-1.1043797239102204E-2</v>
      </c>
      <c r="D37" s="37">
        <f t="shared" si="3"/>
        <v>15961.544556960702</v>
      </c>
      <c r="E37" s="36">
        <v>0.98079097156469441</v>
      </c>
      <c r="F37" s="37">
        <f t="shared" si="4"/>
        <v>15654.938793694646</v>
      </c>
      <c r="G37" s="18">
        <v>15483</v>
      </c>
      <c r="H37" s="37">
        <f t="shared" si="5"/>
        <v>-171.93879369464594</v>
      </c>
      <c r="I37" s="37">
        <f t="shared" si="6"/>
        <v>29562.948777170019</v>
      </c>
    </row>
    <row r="38" spans="1:9" x14ac:dyDescent="0.35">
      <c r="A38" s="10">
        <v>14</v>
      </c>
      <c r="B38" s="24">
        <v>9.6807004275484747</v>
      </c>
      <c r="C38" s="24">
        <v>-8.5895001403493154E-3</v>
      </c>
      <c r="D38" s="37">
        <f t="shared" si="3"/>
        <v>16005.703837663472</v>
      </c>
      <c r="E38" s="36">
        <v>1.0323394347969677</v>
      </c>
      <c r="F38" s="37">
        <f t="shared" si="4"/>
        <v>16523.319253301164</v>
      </c>
      <c r="G38" s="18">
        <v>16382</v>
      </c>
      <c r="H38" s="37">
        <f t="shared" si="5"/>
        <v>-141.31925330116428</v>
      </c>
      <c r="I38" s="37">
        <f t="shared" si="6"/>
        <v>19971.13135359863</v>
      </c>
    </row>
    <row r="39" spans="1:9" x14ac:dyDescent="0.35">
      <c r="A39" s="10">
        <v>15</v>
      </c>
      <c r="B39" s="24">
        <v>9.6834632120237956</v>
      </c>
      <c r="C39" s="24">
        <v>2.0257745150992434E-2</v>
      </c>
      <c r="D39" s="37">
        <f t="shared" si="3"/>
        <v>16049.985289630162</v>
      </c>
      <c r="E39" s="36">
        <v>0.9922802514367296</v>
      </c>
      <c r="F39" s="37">
        <f t="shared" si="4"/>
        <v>15926.083438750029</v>
      </c>
      <c r="G39" s="18">
        <v>16252</v>
      </c>
      <c r="H39" s="37">
        <f t="shared" si="5"/>
        <v>325.91656124997098</v>
      </c>
      <c r="I39" s="37">
        <f t="shared" si="6"/>
        <v>106221.60489700608</v>
      </c>
    </row>
    <row r="40" spans="1:9" x14ac:dyDescent="0.35">
      <c r="A40" s="10">
        <v>16</v>
      </c>
      <c r="B40" s="24">
        <v>9.6862259964991146</v>
      </c>
      <c r="C40" s="24">
        <v>1.2966013643143981E-2</v>
      </c>
      <c r="D40" s="37">
        <f t="shared" si="3"/>
        <v>16094.38925086028</v>
      </c>
      <c r="E40" s="36">
        <v>1.1073678838309451</v>
      </c>
      <c r="F40" s="37">
        <f t="shared" si="4"/>
        <v>17822.409766276658</v>
      </c>
      <c r="G40" s="18">
        <v>18055</v>
      </c>
      <c r="H40" s="37">
        <f t="shared" si="5"/>
        <v>232.59023372334195</v>
      </c>
      <c r="I40" s="37">
        <f t="shared" si="6"/>
        <v>54098.216823478833</v>
      </c>
    </row>
    <row r="41" spans="1:9" x14ac:dyDescent="0.35">
      <c r="A41" s="10">
        <v>17</v>
      </c>
      <c r="B41" s="24">
        <v>9.6889887809744355</v>
      </c>
      <c r="C41" s="24">
        <v>2.7948597552381216E-2</v>
      </c>
      <c r="D41" s="37">
        <f t="shared" si="3"/>
        <v>16138.916060288564</v>
      </c>
      <c r="E41" s="36">
        <v>1.0234185080278571</v>
      </c>
      <c r="F41" s="37">
        <f t="shared" si="4"/>
        <v>16516.865395607343</v>
      </c>
      <c r="G41" s="18">
        <v>16985</v>
      </c>
      <c r="H41" s="37">
        <f t="shared" si="5"/>
        <v>468.13460439265691</v>
      </c>
      <c r="I41" s="37">
        <f t="shared" si="6"/>
        <v>219150.0078298694</v>
      </c>
    </row>
    <row r="42" spans="1:9" x14ac:dyDescent="0.35">
      <c r="A42" s="10">
        <v>18</v>
      </c>
      <c r="B42" s="24">
        <v>9.6917515654497546</v>
      </c>
      <c r="C42" s="24">
        <v>1.0151846453862134E-2</v>
      </c>
      <c r="D42" s="37">
        <f t="shared" si="3"/>
        <v>16183.56605778733</v>
      </c>
      <c r="E42" s="36">
        <v>0.96778361364008814</v>
      </c>
      <c r="F42" s="37">
        <f t="shared" si="4"/>
        <v>15662.190040988497</v>
      </c>
      <c r="G42" s="18">
        <v>15822</v>
      </c>
      <c r="H42" s="37">
        <f t="shared" si="5"/>
        <v>159.80995901150345</v>
      </c>
      <c r="I42" s="37">
        <f t="shared" si="6"/>
        <v>25539.222999258414</v>
      </c>
    </row>
    <row r="43" spans="1:9" x14ac:dyDescent="0.35">
      <c r="A43" s="10">
        <v>19</v>
      </c>
      <c r="B43" s="24">
        <v>9.6945143499250754</v>
      </c>
      <c r="C43" s="24">
        <v>1.5405384297865865E-2</v>
      </c>
      <c r="D43" s="37">
        <f t="shared" si="3"/>
        <v>16228.339584169302</v>
      </c>
      <c r="E43" s="36">
        <v>1.0471910079749045</v>
      </c>
      <c r="F43" s="37">
        <f t="shared" si="4"/>
        <v>16994.171286905294</v>
      </c>
      <c r="G43" s="18">
        <v>17258</v>
      </c>
      <c r="H43" s="37">
        <f t="shared" si="5"/>
        <v>263.82871309470647</v>
      </c>
      <c r="I43" s="37">
        <f t="shared" si="6"/>
        <v>69605.589853208949</v>
      </c>
    </row>
    <row r="44" spans="1:9" x14ac:dyDescent="0.35">
      <c r="A44" s="10">
        <v>20</v>
      </c>
      <c r="B44" s="24">
        <v>9.6972771344003963</v>
      </c>
      <c r="C44" s="24">
        <v>1.0000020723028413E-2</v>
      </c>
      <c r="D44" s="37">
        <f t="shared" si="3"/>
        <v>16273.236981190015</v>
      </c>
      <c r="E44" s="36">
        <v>1.0057927338780821</v>
      </c>
      <c r="F44" s="37">
        <f t="shared" si="4"/>
        <v>16367.503512357012</v>
      </c>
      <c r="G44" s="18">
        <v>16532</v>
      </c>
      <c r="H44" s="37">
        <f t="shared" si="5"/>
        <v>164.49648764298763</v>
      </c>
      <c r="I44" s="37">
        <f t="shared" si="6"/>
        <v>27059.094446879582</v>
      </c>
    </row>
    <row r="45" spans="1:9" x14ac:dyDescent="0.35">
      <c r="A45" s="10">
        <v>21</v>
      </c>
      <c r="B45" s="24">
        <v>9.7000399188757154</v>
      </c>
      <c r="C45" s="24">
        <v>2.6541841615097539E-2</v>
      </c>
      <c r="D45" s="37">
        <f t="shared" si="3"/>
        <v>16318.258591550504</v>
      </c>
      <c r="E45" s="36">
        <v>1.0311404366997561</v>
      </c>
      <c r="F45" s="37">
        <f t="shared" si="4"/>
        <v>16826.416290270932</v>
      </c>
      <c r="G45" s="18">
        <v>17279</v>
      </c>
      <c r="H45" s="37">
        <f t="shared" si="5"/>
        <v>452.58370972906778</v>
      </c>
      <c r="I45" s="37">
        <f t="shared" si="6"/>
        <v>204832.01431212507</v>
      </c>
    </row>
    <row r="46" spans="1:9" x14ac:dyDescent="0.35">
      <c r="A46" s="10">
        <v>22</v>
      </c>
      <c r="B46" s="24">
        <v>9.7028027033510362</v>
      </c>
      <c r="C46" s="24">
        <v>1.1665849329915545E-2</v>
      </c>
      <c r="D46" s="37">
        <f t="shared" si="3"/>
        <v>16363.404758900009</v>
      </c>
      <c r="E46" s="36">
        <v>0.99647151229008235</v>
      </c>
      <c r="F46" s="37">
        <f t="shared" si="4"/>
        <v>16305.666686315823</v>
      </c>
      <c r="G46" s="18">
        <v>16497</v>
      </c>
      <c r="H46" s="37">
        <f t="shared" si="5"/>
        <v>191.33331368417748</v>
      </c>
      <c r="I46" s="37">
        <f t="shared" si="6"/>
        <v>36608.43692536786</v>
      </c>
    </row>
    <row r="47" spans="1:9" x14ac:dyDescent="0.35">
      <c r="A47" s="10">
        <v>23</v>
      </c>
      <c r="B47" s="24">
        <v>9.7055654878263553</v>
      </c>
      <c r="C47" s="24">
        <v>8.8428225131291782E-3</v>
      </c>
      <c r="D47" s="37">
        <f t="shared" si="3"/>
        <v>16408.675827838397</v>
      </c>
      <c r="E47" s="36">
        <v>0.99924985141460465</v>
      </c>
      <c r="F47" s="37">
        <f t="shared" si="4"/>
        <v>16396.366882877934</v>
      </c>
      <c r="G47" s="18">
        <v>16542</v>
      </c>
      <c r="H47" s="37">
        <f t="shared" si="5"/>
        <v>145.63311712206632</v>
      </c>
      <c r="I47" s="37">
        <f t="shared" si="6"/>
        <v>21209.004802689487</v>
      </c>
    </row>
    <row r="48" spans="1:9" x14ac:dyDescent="0.35">
      <c r="A48" s="10">
        <v>24</v>
      </c>
      <c r="B48" s="24">
        <v>9.7083282723016762</v>
      </c>
      <c r="C48" s="24">
        <v>2.0069626997239354E-2</v>
      </c>
      <c r="D48" s="37">
        <f t="shared" si="3"/>
        <v>16454.07214391902</v>
      </c>
      <c r="E48" s="36">
        <v>1.0121735261994504</v>
      </c>
      <c r="F48" s="37">
        <f t="shared" si="4"/>
        <v>16654.376222250667</v>
      </c>
      <c r="G48" s="18">
        <v>16992</v>
      </c>
      <c r="H48" s="37">
        <f t="shared" si="5"/>
        <v>337.62377774933339</v>
      </c>
      <c r="I48" s="37">
        <f t="shared" si="6"/>
        <v>113989.81530173126</v>
      </c>
    </row>
    <row r="49" spans="1:9" x14ac:dyDescent="0.35">
      <c r="A49" s="10">
        <v>25</v>
      </c>
      <c r="B49" s="24">
        <v>9.711091056776997</v>
      </c>
      <c r="C49" s="24">
        <v>-1.3478397554035126E-2</v>
      </c>
      <c r="D49" s="37">
        <f t="shared" si="3"/>
        <v>16499.594053651155</v>
      </c>
      <c r="E49" s="36">
        <v>0.98079097156469441</v>
      </c>
      <c r="F49" s="37">
        <f t="shared" si="4"/>
        <v>16182.652882303571</v>
      </c>
      <c r="G49" s="18">
        <v>15966</v>
      </c>
      <c r="H49" s="37">
        <f t="shared" si="5"/>
        <v>-216.65288230357146</v>
      </c>
      <c r="I49" s="37">
        <f t="shared" si="6"/>
        <v>46938.471410445185</v>
      </c>
    </row>
    <row r="50" spans="1:9" x14ac:dyDescent="0.35">
      <c r="A50" s="10">
        <v>26</v>
      </c>
      <c r="B50" s="24">
        <v>9.7138538412523161</v>
      </c>
      <c r="C50" s="24">
        <v>1.0697323578177986E-2</v>
      </c>
      <c r="D50" s="37">
        <f t="shared" si="3"/>
        <v>16545.241904502731</v>
      </c>
      <c r="E50" s="36">
        <v>1.0323394347969677</v>
      </c>
      <c r="F50" s="37">
        <f t="shared" si="4"/>
        <v>17080.305676273452</v>
      </c>
      <c r="G50" s="18">
        <v>17264</v>
      </c>
      <c r="H50" s="37">
        <f t="shared" si="5"/>
        <v>183.69432372654774</v>
      </c>
      <c r="I50" s="37">
        <f t="shared" si="6"/>
        <v>33743.604569353716</v>
      </c>
    </row>
    <row r="51" spans="1:9" x14ac:dyDescent="0.35">
      <c r="A51" s="10">
        <v>27</v>
      </c>
      <c r="B51" s="24">
        <v>9.716616625727637</v>
      </c>
      <c r="C51" s="24">
        <v>1.5075213028458379E-2</v>
      </c>
      <c r="D51" s="37">
        <f t="shared" si="3"/>
        <v>16591.016044903074</v>
      </c>
      <c r="E51" s="36">
        <v>0.9922802514367296</v>
      </c>
      <c r="F51" s="37">
        <f t="shared" si="4"/>
        <v>16462.937572627237</v>
      </c>
      <c r="G51" s="18">
        <v>16713</v>
      </c>
      <c r="H51" s="37">
        <f t="shared" si="5"/>
        <v>250.06242737276261</v>
      </c>
      <c r="I51" s="37">
        <f t="shared" si="6"/>
        <v>62531.21758355818</v>
      </c>
    </row>
    <row r="52" spans="1:9" x14ac:dyDescent="0.35">
      <c r="A52" s="10">
        <v>28</v>
      </c>
      <c r="B52" s="24">
        <v>9.719379410202956</v>
      </c>
      <c r="C52" s="24">
        <v>5.8673078135562662E-4</v>
      </c>
      <c r="D52" s="37">
        <f t="shared" si="3"/>
        <v>16636.916824245356</v>
      </c>
      <c r="E52" s="36">
        <v>1.1073678838309451</v>
      </c>
      <c r="F52" s="37">
        <f t="shared" si="4"/>
        <v>18423.187377136026</v>
      </c>
      <c r="G52" s="18">
        <v>18434</v>
      </c>
      <c r="H52" s="37">
        <f t="shared" si="5"/>
        <v>10.812622863973957</v>
      </c>
      <c r="I52" s="37">
        <f t="shared" si="6"/>
        <v>116.91281319853236</v>
      </c>
    </row>
    <row r="53" spans="1:9" x14ac:dyDescent="0.35">
      <c r="A53" s="10">
        <v>29</v>
      </c>
      <c r="B53" s="24">
        <v>9.7221421946782769</v>
      </c>
      <c r="C53" s="24">
        <v>2.1746922652086553E-2</v>
      </c>
      <c r="D53" s="37">
        <f t="shared" si="3"/>
        <v>16682.944592889497</v>
      </c>
      <c r="E53" s="36">
        <v>1.0234185080278571</v>
      </c>
      <c r="F53" s="37">
        <f t="shared" si="4"/>
        <v>17073.634264766373</v>
      </c>
      <c r="G53" s="18">
        <v>17449</v>
      </c>
      <c r="H53" s="37">
        <f t="shared" si="5"/>
        <v>375.36573523362676</v>
      </c>
      <c r="I53" s="37">
        <f t="shared" si="6"/>
        <v>140899.4351874812</v>
      </c>
    </row>
    <row r="54" spans="1:9" x14ac:dyDescent="0.35">
      <c r="A54" s="10">
        <v>30</v>
      </c>
      <c r="B54" s="24">
        <v>9.724904979153596</v>
      </c>
      <c r="C54" s="24">
        <v>6.0564577815069853E-2</v>
      </c>
      <c r="D54" s="37">
        <f t="shared" si="3"/>
        <v>16729.099702164614</v>
      </c>
      <c r="E54" s="36">
        <v>0.96778361364008814</v>
      </c>
      <c r="F54" s="37">
        <f t="shared" si="4"/>
        <v>16190.148562706192</v>
      </c>
      <c r="G54" s="18">
        <v>17201</v>
      </c>
      <c r="H54" s="37">
        <f t="shared" si="5"/>
        <v>1010.851437293808</v>
      </c>
      <c r="I54" s="37">
        <f t="shared" si="6"/>
        <v>1021820.6282789574</v>
      </c>
    </row>
    <row r="55" spans="1:9" x14ac:dyDescent="0.35">
      <c r="A55" s="10">
        <v>31</v>
      </c>
      <c r="B55" s="24">
        <v>9.7276677636289168</v>
      </c>
      <c r="C55" s="24">
        <v>8.6136766838400547E-3</v>
      </c>
      <c r="D55" s="37">
        <f t="shared" si="3"/>
        <v>16775.382504371926</v>
      </c>
      <c r="E55" s="36">
        <v>1.0471910079749045</v>
      </c>
      <c r="F55" s="37">
        <f t="shared" si="4"/>
        <v>17567.029713917815</v>
      </c>
      <c r="G55" s="18">
        <v>17719</v>
      </c>
      <c r="H55" s="37">
        <f t="shared" si="5"/>
        <v>151.97028608218534</v>
      </c>
      <c r="I55" s="37">
        <f t="shared" si="6"/>
        <v>23094.967851901256</v>
      </c>
    </row>
    <row r="56" spans="1:9" x14ac:dyDescent="0.35">
      <c r="A56" s="10">
        <v>32</v>
      </c>
      <c r="B56" s="24">
        <v>9.7304305481042377</v>
      </c>
      <c r="C56" s="24">
        <v>1.3138637395044839E-2</v>
      </c>
      <c r="D56" s="37">
        <f t="shared" si="3"/>
        <v>16821.793352787237</v>
      </c>
      <c r="E56" s="36">
        <v>1.0057927338780821</v>
      </c>
      <c r="F56" s="37">
        <f t="shared" si="4"/>
        <v>16919.237525032026</v>
      </c>
      <c r="G56" s="18">
        <v>17143</v>
      </c>
      <c r="H56" s="37">
        <f t="shared" si="5"/>
        <v>223.76247496797441</v>
      </c>
      <c r="I56" s="37">
        <f t="shared" si="6"/>
        <v>50069.645203793378</v>
      </c>
    </row>
    <row r="57" spans="1:9" x14ac:dyDescent="0.35">
      <c r="A57" s="10">
        <v>33</v>
      </c>
      <c r="B57" s="24">
        <v>9.7331933325795568</v>
      </c>
      <c r="C57" s="24">
        <v>2.7075823894930906E-2</v>
      </c>
      <c r="D57" s="37">
        <f t="shared" si="3"/>
        <v>16868.332601663737</v>
      </c>
      <c r="E57" s="36">
        <v>1.0311404366997561</v>
      </c>
      <c r="F57" s="37">
        <f t="shared" si="4"/>
        <v>17393.619845276276</v>
      </c>
      <c r="G57" s="18">
        <v>17871</v>
      </c>
      <c r="H57" s="37">
        <f t="shared" si="5"/>
        <v>477.38015472372354</v>
      </c>
      <c r="I57" s="37">
        <f t="shared" si="6"/>
        <v>227891.81212404624</v>
      </c>
    </row>
    <row r="58" spans="1:9" x14ac:dyDescent="0.35">
      <c r="A58" s="10">
        <v>34</v>
      </c>
      <c r="B58" s="24">
        <v>9.7359561170548776</v>
      </c>
      <c r="C58" s="24">
        <v>1.0780033052936844E-2</v>
      </c>
      <c r="D58" s="37">
        <f t="shared" si="3"/>
        <v>16915.000606234775</v>
      </c>
      <c r="E58" s="36">
        <v>0.99647151229008235</v>
      </c>
      <c r="F58" s="37">
        <f t="shared" si="4"/>
        <v>16855.316234482427</v>
      </c>
      <c r="G58" s="18">
        <v>17038</v>
      </c>
      <c r="H58" s="37">
        <f t="shared" si="5"/>
        <v>182.68376551757319</v>
      </c>
      <c r="I58" s="37">
        <f t="shared" si="6"/>
        <v>33373.358183679666</v>
      </c>
    </row>
    <row r="59" spans="1:9" x14ac:dyDescent="0.35">
      <c r="A59" s="10">
        <v>35</v>
      </c>
      <c r="B59" s="24">
        <v>9.7387189015301967</v>
      </c>
      <c r="C59" s="24">
        <v>2.7003861236819304E-2</v>
      </c>
      <c r="D59" s="37">
        <f t="shared" si="3"/>
        <v>16961.797722716368</v>
      </c>
      <c r="E59" s="36">
        <v>0.99924985141460465</v>
      </c>
      <c r="F59" s="37">
        <f t="shared" si="4"/>
        <v>16949.073854148912</v>
      </c>
      <c r="G59" s="18">
        <v>17413</v>
      </c>
      <c r="H59" s="37">
        <f t="shared" si="5"/>
        <v>463.92614585108822</v>
      </c>
      <c r="I59" s="37">
        <f t="shared" si="6"/>
        <v>215227.46880424517</v>
      </c>
    </row>
    <row r="60" spans="1:9" x14ac:dyDescent="0.35">
      <c r="A60" s="10">
        <v>36</v>
      </c>
      <c r="B60" s="24">
        <v>9.7414816860055176</v>
      </c>
      <c r="C60" s="24">
        <v>-9.1704794672331502E-4</v>
      </c>
      <c r="D60" s="37">
        <f t="shared" si="3"/>
        <v>17008.724308310171</v>
      </c>
      <c r="E60" s="36">
        <v>1.0121735261994504</v>
      </c>
      <c r="F60" s="37">
        <f t="shared" si="4"/>
        <v>17215.780459296613</v>
      </c>
      <c r="G60" s="18">
        <v>17200</v>
      </c>
      <c r="H60" s="37">
        <f t="shared" si="5"/>
        <v>-15.780459296613117</v>
      </c>
      <c r="I60" s="37">
        <f t="shared" si="6"/>
        <v>249.02289561206334</v>
      </c>
    </row>
    <row r="61" spans="1:9" x14ac:dyDescent="0.35">
      <c r="A61" s="10">
        <v>37</v>
      </c>
      <c r="B61" s="24">
        <v>9.7442444704808384</v>
      </c>
      <c r="C61" s="24">
        <v>2.6419788094996122E-2</v>
      </c>
      <c r="D61" s="37">
        <f t="shared" si="3"/>
        <v>17055.780721205982</v>
      </c>
      <c r="E61" s="36">
        <v>0.98079097156469441</v>
      </c>
      <c r="F61" s="37">
        <f t="shared" si="4"/>
        <v>16728.155744346001</v>
      </c>
      <c r="G61" s="18">
        <v>17176</v>
      </c>
      <c r="H61" s="37">
        <f t="shared" si="5"/>
        <v>447.84425565399943</v>
      </c>
      <c r="I61" s="37">
        <f t="shared" si="6"/>
        <v>200564.4773222848</v>
      </c>
    </row>
    <row r="62" spans="1:9" x14ac:dyDescent="0.35">
      <c r="A62" s="10">
        <v>38</v>
      </c>
      <c r="B62" s="24">
        <v>9.7470072549561575</v>
      </c>
      <c r="C62" s="24">
        <v>2.0347258103235788E-2</v>
      </c>
      <c r="D62" s="37">
        <f t="shared" si="3"/>
        <v>17102.967320584557</v>
      </c>
      <c r="E62" s="36">
        <v>1.0323394347969677</v>
      </c>
      <c r="F62" s="37">
        <f t="shared" si="4"/>
        <v>17656.06761708327</v>
      </c>
      <c r="G62" s="18">
        <v>18019</v>
      </c>
      <c r="H62" s="37">
        <f t="shared" si="5"/>
        <v>362.93238291672969</v>
      </c>
      <c r="I62" s="37">
        <f t="shared" si="6"/>
        <v>131719.91456961571</v>
      </c>
    </row>
    <row r="63" spans="1:9" x14ac:dyDescent="0.35">
      <c r="A63" s="10">
        <v>39</v>
      </c>
      <c r="B63" s="24">
        <v>9.7497700394314784</v>
      </c>
      <c r="C63" s="24">
        <v>-2.5233869374101658E-3</v>
      </c>
      <c r="D63" s="37">
        <f t="shared" si="3"/>
        <v>17150.284466620473</v>
      </c>
      <c r="E63" s="36">
        <v>0.9922802514367296</v>
      </c>
      <c r="F63" s="37">
        <f t="shared" si="4"/>
        <v>17017.888582749601</v>
      </c>
      <c r="G63" s="18">
        <v>16975</v>
      </c>
      <c r="H63" s="37">
        <f t="shared" si="5"/>
        <v>-42.888582749601483</v>
      </c>
      <c r="I63" s="37">
        <f t="shared" si="6"/>
        <v>1839.4305302694138</v>
      </c>
    </row>
    <row r="64" spans="1:9" x14ac:dyDescent="0.35">
      <c r="A64" s="10">
        <v>40</v>
      </c>
      <c r="B64" s="24">
        <v>9.7525328239067974</v>
      </c>
      <c r="C64" s="24">
        <v>3.1466529923889652E-2</v>
      </c>
      <c r="D64" s="37">
        <f t="shared" si="3"/>
        <v>17197.732520484635</v>
      </c>
      <c r="E64" s="36">
        <v>1.1073678838309451</v>
      </c>
      <c r="F64" s="37">
        <f t="shared" si="4"/>
        <v>19044.216667899695</v>
      </c>
      <c r="G64" s="18">
        <v>19653</v>
      </c>
      <c r="H64" s="37">
        <f t="shared" si="5"/>
        <v>608.78333210030542</v>
      </c>
      <c r="I64" s="37">
        <f t="shared" si="6"/>
        <v>370617.14544315077</v>
      </c>
    </row>
    <row r="65" spans="1:9" x14ac:dyDescent="0.35">
      <c r="A65" s="10">
        <v>41</v>
      </c>
      <c r="B65" s="24">
        <v>9.7552956083821183</v>
      </c>
      <c r="C65" s="24">
        <v>5.1895136106629991E-3</v>
      </c>
      <c r="D65" s="37">
        <f t="shared" si="3"/>
        <v>17245.311844347281</v>
      </c>
      <c r="E65" s="36">
        <v>1.0234185080278571</v>
      </c>
      <c r="F65" s="37">
        <f t="shared" si="4"/>
        <v>17649.171318217028</v>
      </c>
      <c r="G65" s="18">
        <v>17741</v>
      </c>
      <c r="H65" s="37">
        <f t="shared" si="5"/>
        <v>91.828681782972126</v>
      </c>
      <c r="I65" s="37">
        <f t="shared" si="6"/>
        <v>8432.506797998356</v>
      </c>
    </row>
    <row r="66" spans="1:9" x14ac:dyDescent="0.35">
      <c r="A66" s="10">
        <v>42</v>
      </c>
      <c r="B66" s="24">
        <v>9.7580583928574374</v>
      </c>
      <c r="C66" s="24">
        <v>1.7302690412879684E-2</v>
      </c>
      <c r="D66" s="37">
        <f t="shared" si="3"/>
        <v>17293.022801380524</v>
      </c>
      <c r="E66" s="36">
        <v>0.96778361364008814</v>
      </c>
      <c r="F66" s="37">
        <f t="shared" si="4"/>
        <v>16735.904097480485</v>
      </c>
      <c r="G66" s="18">
        <v>17028</v>
      </c>
      <c r="H66" s="37">
        <f t="shared" si="5"/>
        <v>292.09590251951522</v>
      </c>
      <c r="I66" s="37">
        <f t="shared" si="6"/>
        <v>85320.016268690131</v>
      </c>
    </row>
    <row r="67" spans="1:9" x14ac:dyDescent="0.35">
      <c r="A67" s="10">
        <v>43</v>
      </c>
      <c r="B67" s="24">
        <v>9.7608211773327582</v>
      </c>
      <c r="C67" s="24">
        <v>1.8647537481532694E-2</v>
      </c>
      <c r="D67" s="37">
        <f t="shared" si="3"/>
        <v>17340.865755761341</v>
      </c>
      <c r="E67" s="36">
        <v>1.0471910079749045</v>
      </c>
      <c r="F67" s="37">
        <f t="shared" si="4"/>
        <v>18159.198689933222</v>
      </c>
      <c r="G67" s="18">
        <v>18501</v>
      </c>
      <c r="H67" s="37">
        <f t="shared" si="5"/>
        <v>341.80131006677766</v>
      </c>
      <c r="I67" s="37">
        <f t="shared" si="6"/>
        <v>116828.13556336549</v>
      </c>
    </row>
    <row r="68" spans="1:9" x14ac:dyDescent="0.35">
      <c r="A68" s="10">
        <v>44</v>
      </c>
      <c r="B68" s="24">
        <v>9.7635839618080791</v>
      </c>
      <c r="C68" s="24">
        <v>4.1244442739793996E-2</v>
      </c>
      <c r="D68" s="37">
        <f t="shared" si="3"/>
        <v>17388.841072674157</v>
      </c>
      <c r="E68" s="36">
        <v>1.0057927338780821</v>
      </c>
      <c r="F68" s="37">
        <f t="shared" si="4"/>
        <v>17489.570001456421</v>
      </c>
      <c r="G68" s="18">
        <v>18226</v>
      </c>
      <c r="H68" s="37">
        <f t="shared" si="5"/>
        <v>736.42999854357913</v>
      </c>
      <c r="I68" s="37">
        <f t="shared" si="6"/>
        <v>542329.14275489596</v>
      </c>
    </row>
    <row r="69" spans="1:9" x14ac:dyDescent="0.35">
      <c r="A69" s="10">
        <v>45</v>
      </c>
      <c r="B69" s="24">
        <v>9.7663467462833982</v>
      </c>
      <c r="C69" s="24">
        <v>9.1932736238682367E-3</v>
      </c>
      <c r="D69" s="37">
        <f t="shared" si="3"/>
        <v>17436.949118313714</v>
      </c>
      <c r="E69" s="36">
        <v>1.0311404366997561</v>
      </c>
      <c r="F69" s="37">
        <f t="shared" si="4"/>
        <v>17979.943328569429</v>
      </c>
      <c r="G69" s="18">
        <v>18146</v>
      </c>
      <c r="H69" s="37">
        <f t="shared" si="5"/>
        <v>166.05667143057144</v>
      </c>
      <c r="I69" s="37">
        <f t="shared" si="6"/>
        <v>27574.818126600763</v>
      </c>
    </row>
    <row r="70" spans="1:9" x14ac:dyDescent="0.35">
      <c r="A70" s="10">
        <v>46</v>
      </c>
      <c r="B70" s="24">
        <v>9.769109530758719</v>
      </c>
      <c r="C70" s="24">
        <v>2.9436272946353981E-2</v>
      </c>
      <c r="D70" s="37">
        <f t="shared" si="3"/>
        <v>17485.190259887961</v>
      </c>
      <c r="E70" s="36">
        <v>0.99647151229008235</v>
      </c>
      <c r="F70" s="37">
        <f t="shared" si="4"/>
        <v>17423.493980950374</v>
      </c>
      <c r="G70" s="18">
        <v>17944</v>
      </c>
      <c r="H70" s="37">
        <f t="shared" si="5"/>
        <v>520.50601904962605</v>
      </c>
      <c r="I70" s="37">
        <f t="shared" si="6"/>
        <v>270926.51586688968</v>
      </c>
    </row>
    <row r="71" spans="1:9" x14ac:dyDescent="0.35">
      <c r="A71" s="10">
        <v>47</v>
      </c>
      <c r="B71" s="24">
        <v>9.7718723152340381</v>
      </c>
      <c r="C71" s="24">
        <v>2.4613404895493574E-2</v>
      </c>
      <c r="D71" s="37">
        <f t="shared" si="3"/>
        <v>17533.56486562065</v>
      </c>
      <c r="E71" s="36">
        <v>0.99924985141460465</v>
      </c>
      <c r="F71" s="37">
        <f t="shared" si="4"/>
        <v>17520.412086739769</v>
      </c>
      <c r="G71" s="18">
        <v>17957</v>
      </c>
      <c r="H71" s="37">
        <f t="shared" si="5"/>
        <v>436.58791326023129</v>
      </c>
      <c r="I71" s="37">
        <f t="shared" si="6"/>
        <v>190609.00600492323</v>
      </c>
    </row>
    <row r="72" spans="1:9" x14ac:dyDescent="0.35">
      <c r="A72" s="10">
        <v>48</v>
      </c>
      <c r="B72" s="24">
        <v>9.774635099709359</v>
      </c>
      <c r="C72" s="24">
        <v>-1.085369652112611E-2</v>
      </c>
      <c r="D72" s="37">
        <f t="shared" si="3"/>
        <v>17582.073304754384</v>
      </c>
      <c r="E72" s="36">
        <v>1.0121735261994504</v>
      </c>
      <c r="F72" s="37">
        <f t="shared" si="4"/>
        <v>17796.109134770468</v>
      </c>
      <c r="G72" s="18">
        <v>17604</v>
      </c>
      <c r="H72" s="37">
        <f t="shared" si="5"/>
        <v>-192.10913477046779</v>
      </c>
      <c r="I72" s="37">
        <f t="shared" si="6"/>
        <v>36905.919662257758</v>
      </c>
    </row>
    <row r="73" spans="1:9" x14ac:dyDescent="0.35">
      <c r="A73" s="10">
        <v>49</v>
      </c>
      <c r="B73" s="24">
        <v>9.7773978841846798</v>
      </c>
      <c r="C73" s="24">
        <v>2.7264955981234351E-2</v>
      </c>
      <c r="D73" s="37">
        <f t="shared" si="3"/>
        <v>17630.715947553213</v>
      </c>
      <c r="E73" s="36">
        <v>0.98079097156469441</v>
      </c>
      <c r="F73" s="37">
        <f t="shared" si="4"/>
        <v>17292.047023581868</v>
      </c>
      <c r="G73" s="18">
        <v>17770</v>
      </c>
      <c r="H73" s="37">
        <f t="shared" si="5"/>
        <v>477.95297641813158</v>
      </c>
      <c r="I73" s="37">
        <f t="shared" si="6"/>
        <v>228439.04766695105</v>
      </c>
    </row>
    <row r="74" spans="1:9" x14ac:dyDescent="0.35">
      <c r="A74" s="10">
        <v>50</v>
      </c>
      <c r="B74" s="24">
        <v>9.7801606686599989</v>
      </c>
      <c r="C74" s="24">
        <v>1.3105293780695249E-2</v>
      </c>
      <c r="D74" s="37">
        <f t="shared" si="3"/>
        <v>17679.493165305568</v>
      </c>
      <c r="E74" s="36">
        <v>1.0323394347969677</v>
      </c>
      <c r="F74" s="37">
        <f t="shared" si="4"/>
        <v>18251.237981768401</v>
      </c>
      <c r="G74" s="18">
        <v>18492</v>
      </c>
      <c r="H74" s="37">
        <f t="shared" si="5"/>
        <v>240.76201823159863</v>
      </c>
      <c r="I74" s="37">
        <f t="shared" si="6"/>
        <v>57966.349422952633</v>
      </c>
    </row>
    <row r="75" spans="1:9" x14ac:dyDescent="0.35">
      <c r="A75" s="10">
        <v>51</v>
      </c>
      <c r="B75" s="24">
        <v>9.7829234531353197</v>
      </c>
      <c r="C75" s="24">
        <v>1.0880702575883916E-2</v>
      </c>
      <c r="D75" s="37">
        <f t="shared" si="3"/>
        <v>17728.405330327183</v>
      </c>
      <c r="E75" s="36">
        <v>0.9922802514367296</v>
      </c>
      <c r="F75" s="37">
        <f t="shared" si="4"/>
        <v>17591.546498749314</v>
      </c>
      <c r="G75" s="18">
        <v>17784</v>
      </c>
      <c r="H75" s="37">
        <f t="shared" si="5"/>
        <v>192.4535012506858</v>
      </c>
      <c r="I75" s="37">
        <f t="shared" si="6"/>
        <v>37038.350143647724</v>
      </c>
    </row>
    <row r="76" spans="1:9" x14ac:dyDescent="0.35">
      <c r="A76" s="10">
        <v>52</v>
      </c>
      <c r="B76" s="24">
        <v>9.7856862376106388</v>
      </c>
      <c r="C76" s="24">
        <v>1.9159792606579629E-2</v>
      </c>
      <c r="D76" s="37">
        <f t="shared" si="3"/>
        <v>17777.452815963716</v>
      </c>
      <c r="E76" s="36">
        <v>1.1073678838309451</v>
      </c>
      <c r="F76" s="37">
        <f t="shared" si="4"/>
        <v>19686.180304718215</v>
      </c>
      <c r="G76" s="18">
        <v>20067</v>
      </c>
      <c r="H76" s="37">
        <f t="shared" si="5"/>
        <v>380.81969528178524</v>
      </c>
      <c r="I76" s="37">
        <f t="shared" si="6"/>
        <v>145023.64031451178</v>
      </c>
    </row>
    <row r="77" spans="1:9" x14ac:dyDescent="0.35">
      <c r="A77" s="10">
        <v>53</v>
      </c>
      <c r="B77" s="24">
        <v>9.7884490220859597</v>
      </c>
      <c r="C77" s="24">
        <v>-2.0495102212489513E-2</v>
      </c>
      <c r="D77" s="37">
        <f t="shared" si="3"/>
        <v>17826.63599659385</v>
      </c>
      <c r="E77" s="36">
        <v>1.0234185080278571</v>
      </c>
      <c r="F77" s="37">
        <f t="shared" si="4"/>
        <v>18244.109214789769</v>
      </c>
      <c r="G77" s="19">
        <v>17874</v>
      </c>
      <c r="H77" s="37">
        <f t="shared" si="5"/>
        <v>-370.10921478976888</v>
      </c>
      <c r="I77" s="37">
        <f t="shared" si="6"/>
        <v>136980.83087229927</v>
      </c>
    </row>
    <row r="78" spans="1:9" x14ac:dyDescent="0.35">
      <c r="A78" s="10">
        <v>54</v>
      </c>
      <c r="B78" s="24">
        <v>9.7912118065612788</v>
      </c>
      <c r="C78" s="24">
        <v>-7.4878569252003757E-3</v>
      </c>
      <c r="D78" s="37">
        <f t="shared" si="3"/>
        <v>17875.955247631893</v>
      </c>
      <c r="E78" s="36">
        <v>0.96778361364008814</v>
      </c>
      <c r="F78" s="37">
        <f t="shared" si="4"/>
        <v>17300.056566821691</v>
      </c>
      <c r="G78" s="19">
        <v>17171</v>
      </c>
      <c r="H78" s="37">
        <f t="shared" si="5"/>
        <v>-129.05656682169138</v>
      </c>
      <c r="I78" s="37">
        <f t="shared" si="6"/>
        <v>16655.597439801692</v>
      </c>
    </row>
    <row r="79" spans="1:9" x14ac:dyDescent="0.35">
      <c r="A79" s="10">
        <v>55</v>
      </c>
      <c r="B79" s="24">
        <v>9.7939745910365996</v>
      </c>
      <c r="C79" s="24">
        <v>2.3308519087771984E-2</v>
      </c>
      <c r="D79" s="37">
        <f t="shared" si="3"/>
        <v>17925.410945530915</v>
      </c>
      <c r="E79" s="36">
        <v>1.0471910079749045</v>
      </c>
      <c r="F79" s="37">
        <f t="shared" si="4"/>
        <v>18771.329156414904</v>
      </c>
      <c r="G79" s="19">
        <v>19214</v>
      </c>
      <c r="H79" s="37">
        <f t="shared" si="5"/>
        <v>442.67084358509601</v>
      </c>
      <c r="I79" s="37">
        <f t="shared" si="6"/>
        <v>195957.47576034055</v>
      </c>
    </row>
    <row r="80" spans="1:9" x14ac:dyDescent="0.35">
      <c r="A80" s="10">
        <v>56</v>
      </c>
      <c r="B80" s="24">
        <v>9.7967373755119205</v>
      </c>
      <c r="C80" s="24">
        <v>1.4326349790335868E-2</v>
      </c>
      <c r="D80" s="37">
        <f t="shared" si="3"/>
        <v>17975.003467785384</v>
      </c>
      <c r="E80" s="36">
        <v>1.0057927338780821</v>
      </c>
      <c r="F80" s="37">
        <f t="shared" si="4"/>
        <v>18079.127879331867</v>
      </c>
      <c r="G80" s="19">
        <v>18340</v>
      </c>
      <c r="H80" s="37">
        <f t="shared" si="5"/>
        <v>260.87212066813299</v>
      </c>
      <c r="I80" s="37">
        <f t="shared" si="6"/>
        <v>68054.263341888945</v>
      </c>
    </row>
    <row r="81" spans="1:9" x14ac:dyDescent="0.35">
      <c r="A81" s="10">
        <v>57</v>
      </c>
      <c r="B81" s="24">
        <v>9.7995001599872396</v>
      </c>
      <c r="C81" s="24">
        <v>-1.5782492356240851E-2</v>
      </c>
      <c r="D81" s="37">
        <f t="shared" si="3"/>
        <v>18024.733192934134</v>
      </c>
      <c r="E81" s="36">
        <v>1.0311404366997561</v>
      </c>
      <c r="F81" s="37">
        <f t="shared" si="4"/>
        <v>18586.031255958693</v>
      </c>
      <c r="G81" s="19">
        <v>18295</v>
      </c>
      <c r="H81" s="37">
        <f t="shared" si="5"/>
        <v>-291.03125595869278</v>
      </c>
      <c r="I81" s="37">
        <f t="shared" si="6"/>
        <v>84699.191944894148</v>
      </c>
    </row>
    <row r="82" spans="1:9" x14ac:dyDescent="0.35">
      <c r="A82" s="10">
        <v>58</v>
      </c>
      <c r="B82" s="24">
        <v>9.8022629444625604</v>
      </c>
      <c r="C82" s="24">
        <v>1.9854828488151455E-2</v>
      </c>
      <c r="D82" s="37">
        <f t="shared" si="3"/>
        <v>18074.600500563378</v>
      </c>
      <c r="E82" s="36">
        <v>0.99647151229008235</v>
      </c>
      <c r="F82" s="37">
        <f t="shared" si="4"/>
        <v>18010.82449483547</v>
      </c>
      <c r="G82" s="19">
        <v>18372</v>
      </c>
      <c r="H82" s="37">
        <f t="shared" si="5"/>
        <v>361.17550516453048</v>
      </c>
      <c r="I82" s="37">
        <f t="shared" si="6"/>
        <v>130447.74553085378</v>
      </c>
    </row>
    <row r="83" spans="1:9" x14ac:dyDescent="0.35">
      <c r="A83" s="10">
        <v>59</v>
      </c>
      <c r="B83" s="24">
        <v>9.8050257289378795</v>
      </c>
      <c r="C83" s="24">
        <v>3.2518625399706735E-3</v>
      </c>
      <c r="D83" s="37">
        <f t="shared" si="3"/>
        <v>18124.605771309354</v>
      </c>
      <c r="E83" s="36">
        <v>0.99924985141460465</v>
      </c>
      <c r="F83" s="37">
        <f t="shared" si="4"/>
        <v>18111.00962392916</v>
      </c>
      <c r="G83" s="19">
        <v>18170</v>
      </c>
      <c r="H83" s="37">
        <f t="shared" si="5"/>
        <v>58.990376070840284</v>
      </c>
      <c r="I83" s="37">
        <f t="shared" si="6"/>
        <v>3479.8644689791658</v>
      </c>
    </row>
    <row r="84" spans="1:9" x14ac:dyDescent="0.35">
      <c r="A84" s="10">
        <v>60</v>
      </c>
      <c r="B84" s="24">
        <v>9.8077885134132003</v>
      </c>
      <c r="C84" s="24">
        <v>-3.7033140226192529E-3</v>
      </c>
      <c r="D84" s="37">
        <f t="shared" si="3"/>
        <v>18174.749386861509</v>
      </c>
      <c r="E84" s="36">
        <v>1.0121735261994504</v>
      </c>
      <c r="F84" s="37">
        <f t="shared" si="4"/>
        <v>18396.000174690915</v>
      </c>
      <c r="G84" s="19">
        <v>18328</v>
      </c>
      <c r="H84" s="37">
        <f t="shared" si="5"/>
        <v>-68.000174690914719</v>
      </c>
      <c r="I84" s="37">
        <f t="shared" si="6"/>
        <v>4624.0237579949189</v>
      </c>
    </row>
    <row r="85" spans="1:9" x14ac:dyDescent="0.35">
      <c r="A85" s="10">
        <v>61</v>
      </c>
      <c r="B85" s="24">
        <v>9.8105512978885212</v>
      </c>
      <c r="C85" s="24">
        <v>1.3836926915724135E-2</v>
      </c>
      <c r="D85" s="37">
        <f t="shared" si="3"/>
        <v>18225.031729965165</v>
      </c>
      <c r="E85" s="36">
        <v>0.98079097156469441</v>
      </c>
      <c r="F85" s="37">
        <f t="shared" si="4"/>
        <v>17874.946577229919</v>
      </c>
      <c r="G85" s="19">
        <v>18124</v>
      </c>
      <c r="H85" s="37">
        <f t="shared" si="5"/>
        <v>249.05342277008094</v>
      </c>
      <c r="I85" s="37">
        <f t="shared" si="6"/>
        <v>62027.607393492675</v>
      </c>
    </row>
    <row r="86" spans="1:9" x14ac:dyDescent="0.35">
      <c r="A86" s="10">
        <v>62</v>
      </c>
      <c r="B86" s="24">
        <v>9.8133140823638403</v>
      </c>
      <c r="C86" s="24">
        <v>-1.3633522287298305E-2</v>
      </c>
      <c r="D86" s="37">
        <f t="shared" si="3"/>
        <v>18275.453184424565</v>
      </c>
      <c r="E86" s="36">
        <v>1.0323394347969677</v>
      </c>
      <c r="F86" s="37">
        <f t="shared" si="4"/>
        <v>18866.471011067297</v>
      </c>
      <c r="G86" s="19">
        <v>18611</v>
      </c>
      <c r="H86" s="37">
        <f t="shared" si="5"/>
        <v>-255.47101106729679</v>
      </c>
      <c r="I86" s="37">
        <f t="shared" si="6"/>
        <v>65265.437495746875</v>
      </c>
    </row>
    <row r="87" spans="1:9" x14ac:dyDescent="0.35">
      <c r="A87" s="10">
        <v>63</v>
      </c>
      <c r="B87" s="24">
        <v>9.8160768668391611</v>
      </c>
      <c r="C87" s="24">
        <v>2.9234235647971119E-2</v>
      </c>
      <c r="D87" s="37">
        <f t="shared" si="3"/>
        <v>18326.014135105863</v>
      </c>
      <c r="E87" s="36">
        <v>0.9922802514367296</v>
      </c>
      <c r="F87" s="37">
        <f t="shared" si="4"/>
        <v>18184.541913815905</v>
      </c>
      <c r="G87" s="19">
        <v>18724</v>
      </c>
      <c r="H87" s="37">
        <f t="shared" si="5"/>
        <v>539.45808618409501</v>
      </c>
      <c r="I87" s="37">
        <f t="shared" si="6"/>
        <v>291015.02674940648</v>
      </c>
    </row>
    <row r="88" spans="1:9" x14ac:dyDescent="0.35">
      <c r="A88" s="10">
        <v>64</v>
      </c>
      <c r="B88" s="24">
        <v>9.8188396513144802</v>
      </c>
      <c r="C88" s="24">
        <v>3.1785419611901844E-2</v>
      </c>
      <c r="D88" s="37">
        <f t="shared" si="3"/>
        <v>18376.714967939872</v>
      </c>
      <c r="E88" s="36">
        <v>1.1073678838309451</v>
      </c>
      <c r="F88" s="37">
        <f t="shared" si="4"/>
        <v>20349.783965812028</v>
      </c>
      <c r="G88" s="19">
        <v>21007</v>
      </c>
      <c r="H88" s="37">
        <f t="shared" si="5"/>
        <v>657.21603418797167</v>
      </c>
      <c r="I88" s="37">
        <f t="shared" si="6"/>
        <v>431932.91559376515</v>
      </c>
    </row>
    <row r="89" spans="1:9" x14ac:dyDescent="0.35">
      <c r="A89" s="10">
        <v>65</v>
      </c>
      <c r="B89" s="24">
        <v>9.8216024357898011</v>
      </c>
      <c r="C89" s="24">
        <v>1.5568119277080683E-2</v>
      </c>
      <c r="D89" s="37">
        <f t="shared" si="3"/>
        <v>18427.556069925249</v>
      </c>
      <c r="E89" s="36">
        <v>1.0234185080278571</v>
      </c>
      <c r="F89" s="37">
        <f t="shared" si="4"/>
        <v>18859.10193968258</v>
      </c>
      <c r="G89" s="19">
        <v>19155</v>
      </c>
      <c r="H89" s="37">
        <f t="shared" si="5"/>
        <v>295.89806031742046</v>
      </c>
      <c r="I89" s="37">
        <f t="shared" si="6"/>
        <v>87555.6620996118</v>
      </c>
    </row>
    <row r="90" spans="1:9" x14ac:dyDescent="0.35">
      <c r="A90" s="10">
        <v>66</v>
      </c>
      <c r="B90" s="24">
        <v>9.8243652202651202</v>
      </c>
      <c r="C90" s="24">
        <v>1.2987539033165518E-2</v>
      </c>
      <c r="D90" s="37">
        <f t="shared" ref="D90:D153" si="7">EXP(B90)</f>
        <v>18478.53782913119</v>
      </c>
      <c r="E90" s="36">
        <v>0.96778361364008814</v>
      </c>
      <c r="F90" s="37">
        <f t="shared" ref="F90:F153" si="8">E90*D90</f>
        <v>17883.226115061654</v>
      </c>
      <c r="G90" s="19">
        <v>18117</v>
      </c>
      <c r="H90" s="37">
        <f t="shared" ref="H90:H153" si="9">G90-F90</f>
        <v>233.77388493834587</v>
      </c>
      <c r="I90" s="37">
        <f t="shared" ref="I90:I153" si="10">H90*H90</f>
        <v>54650.229279166975</v>
      </c>
    </row>
    <row r="91" spans="1:9" x14ac:dyDescent="0.35">
      <c r="A91" s="10">
        <v>67</v>
      </c>
      <c r="B91" s="24">
        <v>9.827128004740441</v>
      </c>
      <c r="C91" s="24">
        <v>3.2345997032521723E-2</v>
      </c>
      <c r="D91" s="37">
        <f t="shared" si="7"/>
        <v>18529.660634700656</v>
      </c>
      <c r="E91" s="36">
        <v>1.0471910079749045</v>
      </c>
      <c r="F91" s="37">
        <f t="shared" si="8"/>
        <v>19404.093997485088</v>
      </c>
      <c r="G91" s="19">
        <v>20042</v>
      </c>
      <c r="H91" s="37">
        <f t="shared" si="9"/>
        <v>637.90600251491196</v>
      </c>
      <c r="I91" s="37">
        <f t="shared" si="10"/>
        <v>406924.06804455485</v>
      </c>
    </row>
    <row r="92" spans="1:9" x14ac:dyDescent="0.35">
      <c r="A92" s="10">
        <v>68</v>
      </c>
      <c r="B92" s="24">
        <v>9.8298907892157619</v>
      </c>
      <c r="C92" s="24">
        <v>1.357572795977191E-2</v>
      </c>
      <c r="D92" s="37">
        <f t="shared" si="7"/>
        <v>18580.924876853118</v>
      </c>
      <c r="E92" s="36">
        <v>1.0057927338780821</v>
      </c>
      <c r="F92" s="37">
        <f t="shared" si="8"/>
        <v>18688.559229873365</v>
      </c>
      <c r="G92" s="19">
        <v>18944</v>
      </c>
      <c r="H92" s="37">
        <f t="shared" si="9"/>
        <v>255.44077012663547</v>
      </c>
      <c r="I92" s="37">
        <f t="shared" si="10"/>
        <v>65249.987042888628</v>
      </c>
    </row>
    <row r="93" spans="1:9" x14ac:dyDescent="0.35">
      <c r="A93" s="10">
        <v>69</v>
      </c>
      <c r="B93" s="24">
        <v>9.832653573691081</v>
      </c>
      <c r="C93" s="24">
        <v>1.5107138427367772E-2</v>
      </c>
      <c r="D93" s="37">
        <f t="shared" si="7"/>
        <v>18632.330946887629</v>
      </c>
      <c r="E93" s="36">
        <v>1.0311404366997561</v>
      </c>
      <c r="F93" s="37">
        <f t="shared" si="8"/>
        <v>19212.549869308088</v>
      </c>
      <c r="G93" s="19">
        <v>19505</v>
      </c>
      <c r="H93" s="37">
        <f t="shared" si="9"/>
        <v>292.45013069191191</v>
      </c>
      <c r="I93" s="37">
        <f t="shared" si="10"/>
        <v>85527.078941716361</v>
      </c>
    </row>
    <row r="94" spans="1:9" x14ac:dyDescent="0.35">
      <c r="A94" s="10">
        <v>70</v>
      </c>
      <c r="B94" s="24">
        <v>9.8354163581664018</v>
      </c>
      <c r="C94" s="24">
        <v>2.456672386896841E-2</v>
      </c>
      <c r="D94" s="37">
        <f t="shared" si="7"/>
        <v>18683.879237185902</v>
      </c>
      <c r="E94" s="36">
        <v>0.99647151229008235</v>
      </c>
      <c r="F94" s="37">
        <f t="shared" si="8"/>
        <v>18617.953398923906</v>
      </c>
      <c r="G94" s="19">
        <v>19081</v>
      </c>
      <c r="H94" s="37">
        <f t="shared" si="9"/>
        <v>463.04660107609379</v>
      </c>
      <c r="I94" s="37">
        <f t="shared" si="10"/>
        <v>214412.15476812315</v>
      </c>
    </row>
    <row r="95" spans="1:9" x14ac:dyDescent="0.35">
      <c r="A95" s="10">
        <v>71</v>
      </c>
      <c r="B95" s="24">
        <v>9.8381791426417209</v>
      </c>
      <c r="C95" s="24">
        <v>-9.6889374562341146E-3</v>
      </c>
      <c r="D95" s="37">
        <f t="shared" si="7"/>
        <v>18735.570141215096</v>
      </c>
      <c r="E95" s="36">
        <v>0.99924985141460465</v>
      </c>
      <c r="F95" s="37">
        <f t="shared" si="8"/>
        <v>18721.515679777087</v>
      </c>
      <c r="G95" s="19">
        <v>18541</v>
      </c>
      <c r="H95" s="37">
        <f t="shared" si="9"/>
        <v>-180.51567977708692</v>
      </c>
      <c r="I95" s="37">
        <f t="shared" si="10"/>
        <v>32585.910645383785</v>
      </c>
    </row>
    <row r="96" spans="1:9" x14ac:dyDescent="0.35">
      <c r="A96" s="10">
        <v>72</v>
      </c>
      <c r="B96" s="24">
        <v>9.8409419271170417</v>
      </c>
      <c r="C96" s="24">
        <v>2.4152958721412432E-2</v>
      </c>
      <c r="D96" s="37">
        <f t="shared" si="7"/>
        <v>18787.40405353106</v>
      </c>
      <c r="E96" s="36">
        <v>1.0121735261994504</v>
      </c>
      <c r="F96" s="37">
        <f t="shared" si="8"/>
        <v>19016.113008996381</v>
      </c>
      <c r="G96" s="19">
        <v>19481</v>
      </c>
      <c r="H96" s="37">
        <f t="shared" si="9"/>
        <v>464.88699100361919</v>
      </c>
      <c r="I96" s="37">
        <f t="shared" si="10"/>
        <v>216119.91440439911</v>
      </c>
    </row>
    <row r="97" spans="1:9" x14ac:dyDescent="0.35">
      <c r="A97" s="10">
        <v>73</v>
      </c>
      <c r="B97" s="24">
        <v>9.8437047115923626</v>
      </c>
      <c r="C97" s="24">
        <v>1.969411312609104E-2</v>
      </c>
      <c r="D97" s="37">
        <f t="shared" si="7"/>
        <v>18839.381369781135</v>
      </c>
      <c r="E97" s="36">
        <v>0.98079097156469441</v>
      </c>
      <c r="F97" s="37">
        <f t="shared" si="8"/>
        <v>18477.495157345442</v>
      </c>
      <c r="G97" s="19">
        <v>18845</v>
      </c>
      <c r="H97" s="37">
        <f t="shared" si="9"/>
        <v>367.50484265455816</v>
      </c>
      <c r="I97" s="37">
        <f t="shared" si="10"/>
        <v>135059.80937455155</v>
      </c>
    </row>
    <row r="98" spans="1:9" x14ac:dyDescent="0.35">
      <c r="A98" s="10">
        <v>74</v>
      </c>
      <c r="B98" s="24">
        <v>9.8464674960676817</v>
      </c>
      <c r="C98" s="24">
        <v>-1.0331022268022849E-2</v>
      </c>
      <c r="D98" s="37">
        <f t="shared" si="7"/>
        <v>18891.502486707246</v>
      </c>
      <c r="E98" s="36">
        <v>1.0323394347969677</v>
      </c>
      <c r="F98" s="37">
        <f t="shared" si="8"/>
        <v>19502.442999592866</v>
      </c>
      <c r="G98" s="19">
        <v>19302</v>
      </c>
      <c r="H98" s="37">
        <f t="shared" si="9"/>
        <v>-200.44299959286582</v>
      </c>
      <c r="I98" s="37">
        <f t="shared" si="10"/>
        <v>40177.396085785607</v>
      </c>
    </row>
    <row r="99" spans="1:9" x14ac:dyDescent="0.35">
      <c r="A99" s="10">
        <v>75</v>
      </c>
      <c r="B99" s="24">
        <v>9.8492302805430025</v>
      </c>
      <c r="C99" s="24">
        <v>1.6120089287820605E-2</v>
      </c>
      <c r="D99" s="37">
        <f t="shared" si="7"/>
        <v>18943.767802149061</v>
      </c>
      <c r="E99" s="36">
        <v>0.9922802514367296</v>
      </c>
      <c r="F99" s="37">
        <f t="shared" si="8"/>
        <v>18797.526677875492</v>
      </c>
      <c r="G99" s="19">
        <v>19103</v>
      </c>
      <c r="H99" s="37">
        <f t="shared" si="9"/>
        <v>305.47332212450783</v>
      </c>
      <c r="I99" s="37">
        <f t="shared" si="10"/>
        <v>93313.950529783324</v>
      </c>
    </row>
    <row r="100" spans="1:9" x14ac:dyDescent="0.35">
      <c r="A100" s="10">
        <v>76</v>
      </c>
      <c r="B100" s="24">
        <v>9.8519930650183216</v>
      </c>
      <c r="C100" s="24">
        <v>4.6120901745325682E-3</v>
      </c>
      <c r="D100" s="37">
        <f t="shared" si="7"/>
        <v>18996.177715046768</v>
      </c>
      <c r="E100" s="36">
        <v>1.1073678838309451</v>
      </c>
      <c r="F100" s="37">
        <f t="shared" si="8"/>
        <v>21035.757117187895</v>
      </c>
      <c r="G100" s="19">
        <v>21133</v>
      </c>
      <c r="H100" s="37">
        <f t="shared" si="9"/>
        <v>97.242882812104654</v>
      </c>
      <c r="I100" s="37">
        <f t="shared" si="10"/>
        <v>9456.1782576087189</v>
      </c>
    </row>
    <row r="101" spans="1:9" x14ac:dyDescent="0.35">
      <c r="A101" s="10">
        <v>77</v>
      </c>
      <c r="B101" s="24">
        <v>9.8547558494936425</v>
      </c>
      <c r="C101" s="24">
        <v>-4.8244614468071489E-3</v>
      </c>
      <c r="D101" s="37">
        <f t="shared" si="7"/>
        <v>19048.732625444409</v>
      </c>
      <c r="E101" s="36">
        <v>1.0234185080278571</v>
      </c>
      <c r="F101" s="37">
        <f t="shared" si="8"/>
        <v>19494.82552335388</v>
      </c>
      <c r="G101" s="19">
        <v>19401</v>
      </c>
      <c r="H101" s="37">
        <f t="shared" si="9"/>
        <v>-93.825523353880271</v>
      </c>
      <c r="I101" s="37">
        <f t="shared" si="10"/>
        <v>8803.2288326295329</v>
      </c>
    </row>
    <row r="102" spans="1:9" x14ac:dyDescent="0.35">
      <c r="A102" s="10">
        <v>78</v>
      </c>
      <c r="B102" s="24">
        <v>9.8575186339689616</v>
      </c>
      <c r="C102" s="24">
        <v>3.0365413948395314E-2</v>
      </c>
      <c r="D102" s="37">
        <f t="shared" si="7"/>
        <v>19101.432934492645</v>
      </c>
      <c r="E102" s="36">
        <v>0.96778361364008814</v>
      </c>
      <c r="F102" s="37">
        <f t="shared" si="8"/>
        <v>18486.053791047085</v>
      </c>
      <c r="G102" s="19">
        <v>19056</v>
      </c>
      <c r="H102" s="37">
        <f t="shared" si="9"/>
        <v>569.94620895291519</v>
      </c>
      <c r="I102" s="37">
        <f t="shared" si="10"/>
        <v>324838.68109980004</v>
      </c>
    </row>
    <row r="103" spans="1:9" x14ac:dyDescent="0.35">
      <c r="A103" s="10">
        <v>79</v>
      </c>
      <c r="B103" s="24">
        <v>9.8602814184442824</v>
      </c>
      <c r="C103" s="24">
        <v>-5.7592837363724669E-3</v>
      </c>
      <c r="D103" s="37">
        <f t="shared" si="7"/>
        <v>19154.279044452102</v>
      </c>
      <c r="E103" s="36">
        <v>1.0471910079749045</v>
      </c>
      <c r="F103" s="37">
        <f t="shared" si="8"/>
        <v>20058.188779592387</v>
      </c>
      <c r="G103" s="19">
        <v>19943</v>
      </c>
      <c r="H103" s="37">
        <f t="shared" si="9"/>
        <v>-115.18877959238671</v>
      </c>
      <c r="I103" s="37">
        <f t="shared" si="10"/>
        <v>13268.454943983445</v>
      </c>
    </row>
    <row r="104" spans="1:9" x14ac:dyDescent="0.35">
      <c r="A104" s="10">
        <v>80</v>
      </c>
      <c r="B104" s="24">
        <v>9.8630442029196033</v>
      </c>
      <c r="C104" s="24">
        <v>-1.3997842872955246E-2</v>
      </c>
      <c r="D104" s="37">
        <f t="shared" si="7"/>
        <v>19207.271358696205</v>
      </c>
      <c r="E104" s="36">
        <v>1.0057927338780821</v>
      </c>
      <c r="F104" s="37">
        <f t="shared" si="8"/>
        <v>19318.533970201242</v>
      </c>
      <c r="G104" s="19">
        <v>19050</v>
      </c>
      <c r="H104" s="37">
        <f t="shared" si="9"/>
        <v>-268.53397020124248</v>
      </c>
      <c r="I104" s="37">
        <f t="shared" si="10"/>
        <v>72110.493152041789</v>
      </c>
    </row>
    <row r="105" spans="1:9" x14ac:dyDescent="0.35">
      <c r="A105" s="10">
        <v>81</v>
      </c>
      <c r="B105" s="24">
        <v>9.8658069873949223</v>
      </c>
      <c r="C105" s="24">
        <v>-8.0477223581478796E-3</v>
      </c>
      <c r="D105" s="37">
        <f t="shared" si="7"/>
        <v>19260.410281714343</v>
      </c>
      <c r="E105" s="36">
        <v>1.0311404366997561</v>
      </c>
      <c r="F105" s="37">
        <f t="shared" si="8"/>
        <v>19860.187868903398</v>
      </c>
      <c r="G105" s="19">
        <v>19701</v>
      </c>
      <c r="H105" s="37">
        <f t="shared" si="9"/>
        <v>-159.18786890339834</v>
      </c>
      <c r="I105" s="37">
        <f t="shared" si="10"/>
        <v>25340.777606005537</v>
      </c>
    </row>
    <row r="106" spans="1:9" x14ac:dyDescent="0.35">
      <c r="A106" s="10">
        <v>82</v>
      </c>
      <c r="B106" s="24">
        <v>9.8685697718702432</v>
      </c>
      <c r="C106" s="24">
        <v>-4.3517054696337709E-2</v>
      </c>
      <c r="D106" s="37">
        <f t="shared" si="7"/>
        <v>19313.696219115081</v>
      </c>
      <c r="E106" s="36">
        <v>0.99647151229008235</v>
      </c>
      <c r="F106" s="37">
        <f t="shared" si="8"/>
        <v>19245.548079372849</v>
      </c>
      <c r="G106" s="19">
        <v>18426</v>
      </c>
      <c r="H106" s="37">
        <f t="shared" si="9"/>
        <v>-819.54807937284932</v>
      </c>
      <c r="I106" s="37">
        <f t="shared" si="10"/>
        <v>671659.05440372613</v>
      </c>
    </row>
    <row r="107" spans="1:9" x14ac:dyDescent="0.35">
      <c r="A107" s="10">
        <v>83</v>
      </c>
      <c r="B107" s="24">
        <v>9.8713325563455623</v>
      </c>
      <c r="C107" s="24">
        <v>-4.1872000679624932E-2</v>
      </c>
      <c r="D107" s="37">
        <f t="shared" si="7"/>
        <v>19367.129577628999</v>
      </c>
      <c r="E107" s="36">
        <v>0.99924985141460465</v>
      </c>
      <c r="F107" s="37">
        <f t="shared" si="8"/>
        <v>19352.601352773174</v>
      </c>
      <c r="G107" s="19">
        <v>18559</v>
      </c>
      <c r="H107" s="37">
        <f t="shared" si="9"/>
        <v>-793.60135277317386</v>
      </c>
      <c r="I107" s="37">
        <f t="shared" si="10"/>
        <v>629803.10712341149</v>
      </c>
    </row>
    <row r="108" spans="1:9" x14ac:dyDescent="0.35">
      <c r="A108" s="10">
        <v>84</v>
      </c>
      <c r="B108" s="24">
        <v>9.8740953408208831</v>
      </c>
      <c r="C108" s="24">
        <v>-2.5197864648456303E-2</v>
      </c>
      <c r="D108" s="37">
        <f t="shared" si="7"/>
        <v>19420.710765112075</v>
      </c>
      <c r="E108" s="36">
        <v>1.0121735261994504</v>
      </c>
      <c r="F108" s="37">
        <f t="shared" si="8"/>
        <v>19657.129296423118</v>
      </c>
      <c r="G108" s="19">
        <v>19168</v>
      </c>
      <c r="H108" s="37">
        <f t="shared" si="9"/>
        <v>-489.12929642311792</v>
      </c>
      <c r="I108" s="37">
        <f t="shared" si="10"/>
        <v>239247.46861937435</v>
      </c>
    </row>
    <row r="109" spans="1:9" x14ac:dyDescent="0.35">
      <c r="A109" s="10">
        <v>85</v>
      </c>
      <c r="B109" s="24">
        <v>9.876858125296204</v>
      </c>
      <c r="C109" s="24">
        <v>-6.7871500422970854E-2</v>
      </c>
      <c r="D109" s="37">
        <f t="shared" si="7"/>
        <v>19474.440190548565</v>
      </c>
      <c r="E109" s="36">
        <v>0.98079097156469441</v>
      </c>
      <c r="F109" s="37">
        <f t="shared" si="8"/>
        <v>19100.355115166658</v>
      </c>
      <c r="G109" s="19">
        <v>17847</v>
      </c>
      <c r="H109" s="37">
        <f t="shared" si="9"/>
        <v>-1253.3551151666579</v>
      </c>
      <c r="I109" s="37">
        <f t="shared" si="10"/>
        <v>1570899.0447144264</v>
      </c>
    </row>
    <row r="110" spans="1:9" x14ac:dyDescent="0.35">
      <c r="A110" s="10">
        <v>86</v>
      </c>
      <c r="B110" s="24">
        <v>9.8796209097715231</v>
      </c>
      <c r="C110" s="24">
        <v>-3.4921061485599481E-2</v>
      </c>
      <c r="D110" s="37">
        <f t="shared" si="7"/>
        <v>19528.318264054222</v>
      </c>
      <c r="E110" s="36">
        <v>1.0323394347969677</v>
      </c>
      <c r="F110" s="37">
        <f t="shared" si="8"/>
        <v>20159.853039249036</v>
      </c>
      <c r="G110" s="19">
        <v>19468</v>
      </c>
      <c r="H110" s="37">
        <f t="shared" si="9"/>
        <v>-691.85303924903565</v>
      </c>
      <c r="I110" s="37">
        <f t="shared" si="10"/>
        <v>478660.62791812763</v>
      </c>
    </row>
    <row r="111" spans="1:9" x14ac:dyDescent="0.35">
      <c r="A111" s="10">
        <v>87</v>
      </c>
      <c r="B111" s="24">
        <v>9.8823836942468439</v>
      </c>
      <c r="C111" s="24">
        <v>-3.8355191336995276E-2</v>
      </c>
      <c r="D111" s="37">
        <f t="shared" si="7"/>
        <v>19582.345396879526</v>
      </c>
      <c r="E111" s="36">
        <v>0.9922802514367296</v>
      </c>
      <c r="F111" s="37">
        <f t="shared" si="8"/>
        <v>19431.1746141365</v>
      </c>
      <c r="G111" s="19">
        <v>18700</v>
      </c>
      <c r="H111" s="37">
        <f t="shared" si="9"/>
        <v>-731.17461413650017</v>
      </c>
      <c r="I111" s="37">
        <f t="shared" si="10"/>
        <v>534616.31635765987</v>
      </c>
    </row>
    <row r="112" spans="1:9" x14ac:dyDescent="0.35">
      <c r="A112" s="10">
        <v>88</v>
      </c>
      <c r="B112" s="24">
        <v>9.885146478722163</v>
      </c>
      <c r="C112" s="24">
        <v>-5.2533854730281604E-2</v>
      </c>
      <c r="D112" s="37">
        <f t="shared" si="7"/>
        <v>19636.522001412595</v>
      </c>
      <c r="E112" s="36">
        <v>1.1073678838309451</v>
      </c>
      <c r="F112" s="37">
        <f t="shared" si="8"/>
        <v>21744.853814504058</v>
      </c>
      <c r="G112" s="19">
        <v>20632</v>
      </c>
      <c r="H112" s="37">
        <f t="shared" si="9"/>
        <v>-1112.8538145040584</v>
      </c>
      <c r="I112" s="37">
        <f t="shared" si="10"/>
        <v>1238443.6124562332</v>
      </c>
    </row>
    <row r="113" spans="1:9" x14ac:dyDescent="0.35">
      <c r="A113" s="10">
        <v>89</v>
      </c>
      <c r="B113" s="24">
        <v>9.8879092631974839</v>
      </c>
      <c r="C113" s="24">
        <v>-1.6308278672507726E-2</v>
      </c>
      <c r="D113" s="37">
        <f t="shared" si="7"/>
        <v>19690.848491182591</v>
      </c>
      <c r="E113" s="36">
        <v>1.0234185080278571</v>
      </c>
      <c r="F113" s="37">
        <f t="shared" si="8"/>
        <v>20151.978784648669</v>
      </c>
      <c r="G113" s="20">
        <v>19826</v>
      </c>
      <c r="H113" s="37">
        <f t="shared" si="9"/>
        <v>-325.97878464866881</v>
      </c>
      <c r="I113" s="37">
        <f t="shared" si="10"/>
        <v>106262.16804102319</v>
      </c>
    </row>
    <row r="114" spans="1:9" x14ac:dyDescent="0.35">
      <c r="A114" s="10">
        <v>90</v>
      </c>
      <c r="B114" s="24">
        <v>9.8906720476728029</v>
      </c>
      <c r="C114" s="24">
        <v>-4.7595237300649629E-2</v>
      </c>
      <c r="D114" s="37">
        <f t="shared" si="7"/>
        <v>19745.325280862613</v>
      </c>
      <c r="E114" s="36">
        <v>0.96778361364008814</v>
      </c>
      <c r="F114" s="37">
        <f t="shared" si="8"/>
        <v>19109.202252812207</v>
      </c>
      <c r="G114" s="20">
        <v>18221</v>
      </c>
      <c r="H114" s="37">
        <f t="shared" si="9"/>
        <v>-888.20225281220701</v>
      </c>
      <c r="I114" s="37">
        <f t="shared" si="10"/>
        <v>788903.24190067966</v>
      </c>
    </row>
    <row r="115" spans="1:9" x14ac:dyDescent="0.35">
      <c r="A115" s="10">
        <v>91</v>
      </c>
      <c r="B115" s="24">
        <v>9.8934348321481238</v>
      </c>
      <c r="C115" s="24">
        <v>-5.4986638342827021E-2</v>
      </c>
      <c r="D115" s="37">
        <f t="shared" si="7"/>
        <v>19799.952786273137</v>
      </c>
      <c r="E115" s="36">
        <v>1.0471910079749045</v>
      </c>
      <c r="F115" s="37">
        <f t="shared" si="8"/>
        <v>20734.332516112885</v>
      </c>
      <c r="G115" s="20">
        <v>19625</v>
      </c>
      <c r="H115" s="37">
        <f t="shared" si="9"/>
        <v>-1109.3325161128851</v>
      </c>
      <c r="I115" s="37">
        <f t="shared" si="10"/>
        <v>1230618.6313053444</v>
      </c>
    </row>
    <row r="116" spans="1:9" x14ac:dyDescent="0.35">
      <c r="A116" s="10">
        <v>92</v>
      </c>
      <c r="B116" s="24">
        <v>9.8961976166234447</v>
      </c>
      <c r="C116" s="24">
        <v>-4.0976136216468007E-2</v>
      </c>
      <c r="D116" s="37">
        <f t="shared" si="7"/>
        <v>19854.73142438494</v>
      </c>
      <c r="E116" s="36">
        <v>1.0057927338780821</v>
      </c>
      <c r="F116" s="37">
        <f t="shared" si="8"/>
        <v>19969.744599747195</v>
      </c>
      <c r="G116" s="20">
        <v>19168</v>
      </c>
      <c r="H116" s="37">
        <f t="shared" si="9"/>
        <v>-801.74459974719502</v>
      </c>
      <c r="I116" s="37">
        <f t="shared" si="10"/>
        <v>642794.40322379</v>
      </c>
    </row>
    <row r="117" spans="1:9" x14ac:dyDescent="0.35">
      <c r="A117" s="10">
        <v>93</v>
      </c>
      <c r="B117" s="24">
        <v>9.8989604010987637</v>
      </c>
      <c r="C117" s="24">
        <v>-3.5885609839823474E-2</v>
      </c>
      <c r="D117" s="37">
        <f t="shared" si="7"/>
        <v>19909.661613322398</v>
      </c>
      <c r="E117" s="36">
        <v>1.0311404366997561</v>
      </c>
      <c r="F117" s="37">
        <f t="shared" si="8"/>
        <v>20529.657170505627</v>
      </c>
      <c r="G117" s="20">
        <v>19806</v>
      </c>
      <c r="H117" s="37">
        <f t="shared" si="9"/>
        <v>-723.65717050562671</v>
      </c>
      <c r="I117" s="37">
        <f t="shared" si="10"/>
        <v>523679.7004242097</v>
      </c>
    </row>
    <row r="118" spans="1:9" x14ac:dyDescent="0.35">
      <c r="A118" s="10">
        <v>94</v>
      </c>
      <c r="B118" s="24">
        <v>9.9017231855740846</v>
      </c>
      <c r="C118" s="24">
        <v>-7.0125128179769902E-2</v>
      </c>
      <c r="D118" s="37">
        <f t="shared" si="7"/>
        <v>19964.743772366779</v>
      </c>
      <c r="E118" s="36">
        <v>0.99647151229008235</v>
      </c>
      <c r="F118" s="37">
        <f t="shared" si="8"/>
        <v>19894.298419334329</v>
      </c>
      <c r="G118" s="20">
        <v>18547</v>
      </c>
      <c r="H118" s="37">
        <f t="shared" si="9"/>
        <v>-1347.2984193343291</v>
      </c>
      <c r="I118" s="37">
        <f t="shared" si="10"/>
        <v>1815213.0307407817</v>
      </c>
    </row>
    <row r="119" spans="1:9" x14ac:dyDescent="0.35">
      <c r="A119" s="10">
        <v>95</v>
      </c>
      <c r="B119" s="24">
        <v>9.9044859700494037</v>
      </c>
      <c r="C119" s="24">
        <v>-2.7105441595525193E-2</v>
      </c>
      <c r="D119" s="37">
        <f t="shared" si="7"/>
        <v>20019.978321959181</v>
      </c>
      <c r="E119" s="36">
        <v>0.99924985141460465</v>
      </c>
      <c r="F119" s="37">
        <f t="shared" si="8"/>
        <v>20004.960363541319</v>
      </c>
      <c r="G119" s="20">
        <v>19470</v>
      </c>
      <c r="H119" s="37">
        <f t="shared" si="9"/>
        <v>-534.96036354131866</v>
      </c>
      <c r="I119" s="37">
        <f t="shared" si="10"/>
        <v>286182.59056025982</v>
      </c>
    </row>
    <row r="120" spans="1:9" x14ac:dyDescent="0.35">
      <c r="A120" s="10">
        <v>96</v>
      </c>
      <c r="B120" s="24">
        <v>9.9072487545247245</v>
      </c>
      <c r="C120" s="24">
        <v>-3.8004591417035272E-2</v>
      </c>
      <c r="D120" s="37">
        <f t="shared" si="7"/>
        <v>20075.365683704058</v>
      </c>
      <c r="E120" s="36">
        <v>1.0121735261994504</v>
      </c>
      <c r="F120" s="37">
        <f t="shared" si="8"/>
        <v>20319.753673818177</v>
      </c>
      <c r="G120" s="20">
        <v>19562</v>
      </c>
      <c r="H120" s="37">
        <f t="shared" si="9"/>
        <v>-757.75367381817705</v>
      </c>
      <c r="I120" s="37">
        <f t="shared" si="10"/>
        <v>574190.63018494425</v>
      </c>
    </row>
    <row r="121" spans="1:9" x14ac:dyDescent="0.35">
      <c r="A121" s="10">
        <v>97</v>
      </c>
      <c r="B121" s="24">
        <v>9.9100115390000454</v>
      </c>
      <c r="C121" s="24">
        <v>-2.7065037050402196E-2</v>
      </c>
      <c r="D121" s="37">
        <f t="shared" si="7"/>
        <v>20130.906280372157</v>
      </c>
      <c r="E121" s="36">
        <v>0.98079097156469441</v>
      </c>
      <c r="F121" s="37">
        <f t="shared" si="8"/>
        <v>19744.211129204017</v>
      </c>
      <c r="G121" s="20">
        <v>19217</v>
      </c>
      <c r="H121" s="37">
        <f t="shared" si="9"/>
        <v>-527.2111292040172</v>
      </c>
      <c r="I121" s="37">
        <f t="shared" si="10"/>
        <v>277951.57475657493</v>
      </c>
    </row>
    <row r="122" spans="1:9" x14ac:dyDescent="0.35">
      <c r="A122" s="10">
        <v>98</v>
      </c>
      <c r="B122" s="24">
        <v>9.9127743234753645</v>
      </c>
      <c r="C122" s="24">
        <v>-1.749542800802395E-2</v>
      </c>
      <c r="D122" s="37">
        <f t="shared" si="7"/>
        <v>20186.600535903865</v>
      </c>
      <c r="E122" s="36">
        <v>1.0323394347969677</v>
      </c>
      <c r="F122" s="37">
        <f t="shared" si="8"/>
        <v>20839.423787707161</v>
      </c>
      <c r="G122" s="20">
        <v>20478</v>
      </c>
      <c r="H122" s="37">
        <f t="shared" si="9"/>
        <v>-361.42378770716095</v>
      </c>
      <c r="I122" s="37">
        <f t="shared" si="10"/>
        <v>130627.15432059095</v>
      </c>
    </row>
    <row r="123" spans="1:9" x14ac:dyDescent="0.35">
      <c r="A123" s="10">
        <v>99</v>
      </c>
      <c r="B123" s="24">
        <v>9.9155371079506853</v>
      </c>
      <c r="C123" s="24">
        <v>-2.6852259817898627E-2</v>
      </c>
      <c r="D123" s="37">
        <f t="shared" si="7"/>
        <v>20242.448875412556</v>
      </c>
      <c r="E123" s="36">
        <v>0.9922802514367296</v>
      </c>
      <c r="F123" s="37">
        <f t="shared" si="8"/>
        <v>20086.182259789515</v>
      </c>
      <c r="G123" s="20">
        <v>19554</v>
      </c>
      <c r="H123" s="37">
        <f t="shared" si="9"/>
        <v>-532.18225978951523</v>
      </c>
      <c r="I123" s="37">
        <f t="shared" si="10"/>
        <v>283217.95763467508</v>
      </c>
    </row>
    <row r="124" spans="1:9" x14ac:dyDescent="0.35">
      <c r="A124" s="10">
        <v>100</v>
      </c>
      <c r="B124" s="24">
        <v>9.9182998924260044</v>
      </c>
      <c r="C124" s="24">
        <v>-1.8130091662474257E-2</v>
      </c>
      <c r="D124" s="37">
        <f t="shared" si="7"/>
        <v>20298.451725187577</v>
      </c>
      <c r="E124" s="36">
        <v>1.1073678838309451</v>
      </c>
      <c r="F124" s="37">
        <f t="shared" si="8"/>
        <v>22477.853531965564</v>
      </c>
      <c r="G124" s="20">
        <v>22074</v>
      </c>
      <c r="H124" s="37">
        <f t="shared" si="9"/>
        <v>-403.85353196556389</v>
      </c>
      <c r="I124" s="37">
        <f t="shared" si="10"/>
        <v>163097.67528106074</v>
      </c>
    </row>
    <row r="125" spans="1:9" x14ac:dyDescent="0.35">
      <c r="A125" s="10">
        <v>101</v>
      </c>
      <c r="B125" s="24">
        <v>9.9210626769013253</v>
      </c>
      <c r="C125" s="24">
        <v>-9.5156993088707509E-3</v>
      </c>
      <c r="D125" s="37">
        <f t="shared" si="7"/>
        <v>20354.6095126978</v>
      </c>
      <c r="E125" s="36">
        <v>1.0234185080278571</v>
      </c>
      <c r="F125" s="37">
        <f t="shared" si="8"/>
        <v>20831.284098974807</v>
      </c>
      <c r="G125" s="20">
        <v>20634</v>
      </c>
      <c r="H125" s="37">
        <f t="shared" si="9"/>
        <v>-197.28409897480742</v>
      </c>
      <c r="I125" s="37">
        <f t="shared" si="10"/>
        <v>38921.015708301609</v>
      </c>
    </row>
    <row r="126" spans="1:9" x14ac:dyDescent="0.35">
      <c r="A126" s="10">
        <v>102</v>
      </c>
      <c r="B126" s="24">
        <v>9.9238254613766443</v>
      </c>
      <c r="C126" s="24">
        <v>-3.1543040047424142E-2</v>
      </c>
      <c r="D126" s="37">
        <f t="shared" si="7"/>
        <v>20410.922666594586</v>
      </c>
      <c r="E126" s="36">
        <v>0.96778361364008814</v>
      </c>
      <c r="F126" s="37">
        <f t="shared" si="8"/>
        <v>19753.356496005294</v>
      </c>
      <c r="G126" s="20">
        <v>19140</v>
      </c>
      <c r="H126" s="37">
        <f t="shared" si="9"/>
        <v>-613.35649600529359</v>
      </c>
      <c r="I126" s="37">
        <f t="shared" si="10"/>
        <v>376206.19119189173</v>
      </c>
    </row>
    <row r="127" spans="1:9" x14ac:dyDescent="0.35">
      <c r="A127" s="10">
        <v>103</v>
      </c>
      <c r="B127" s="24">
        <v>9.9265882458519652</v>
      </c>
      <c r="C127" s="24">
        <v>-4.5104966817916647E-2</v>
      </c>
      <c r="D127" s="37">
        <f t="shared" si="7"/>
        <v>20467.391616715344</v>
      </c>
      <c r="E127" s="36">
        <v>1.0471910079749045</v>
      </c>
      <c r="F127" s="37">
        <f t="shared" si="8"/>
        <v>21433.268457725251</v>
      </c>
      <c r="G127" s="20">
        <v>20488</v>
      </c>
      <c r="H127" s="37">
        <f t="shared" si="9"/>
        <v>-945.26845772525121</v>
      </c>
      <c r="I127" s="37">
        <f t="shared" si="10"/>
        <v>893532.45717027504</v>
      </c>
    </row>
    <row r="128" spans="1:9" x14ac:dyDescent="0.35">
      <c r="A128" s="10">
        <v>104</v>
      </c>
      <c r="B128" s="24">
        <v>9.9293510303272861</v>
      </c>
      <c r="C128" s="24">
        <v>-1.0617978352183144E-3</v>
      </c>
      <c r="D128" s="37">
        <f t="shared" si="7"/>
        <v>20524.016794086569</v>
      </c>
      <c r="E128" s="36">
        <v>1.0057927338780821</v>
      </c>
      <c r="F128" s="37">
        <f t="shared" si="8"/>
        <v>20642.906961484001</v>
      </c>
      <c r="G128" s="20">
        <v>20621</v>
      </c>
      <c r="H128" s="37">
        <f t="shared" si="9"/>
        <v>-21.906961484000931</v>
      </c>
      <c r="I128" s="37">
        <f t="shared" si="10"/>
        <v>479.91496146150024</v>
      </c>
    </row>
    <row r="129" spans="1:9" x14ac:dyDescent="0.35">
      <c r="A129" s="10">
        <v>105</v>
      </c>
      <c r="B129" s="24">
        <v>9.9321138148026051</v>
      </c>
      <c r="C129" s="24">
        <v>-7.2211797977832504E-3</v>
      </c>
      <c r="D129" s="37">
        <f t="shared" si="7"/>
        <v>20580.798630927238</v>
      </c>
      <c r="E129" s="36">
        <v>1.0311404366997561</v>
      </c>
      <c r="F129" s="37">
        <f t="shared" si="8"/>
        <v>21221.693687924053</v>
      </c>
      <c r="G129" s="20">
        <v>21069</v>
      </c>
      <c r="H129" s="37">
        <f t="shared" si="9"/>
        <v>-152.69368792405294</v>
      </c>
      <c r="I129" s="37">
        <f t="shared" si="10"/>
        <v>23315.362331848071</v>
      </c>
    </row>
    <row r="130" spans="1:9" x14ac:dyDescent="0.35">
      <c r="A130" s="10">
        <v>106</v>
      </c>
      <c r="B130" s="24">
        <v>9.934876599277926</v>
      </c>
      <c r="C130" s="24">
        <v>-7.0228096568367704E-3</v>
      </c>
      <c r="D130" s="37">
        <f t="shared" si="7"/>
        <v>20637.737560652218</v>
      </c>
      <c r="E130" s="36">
        <v>0.99647151229008235</v>
      </c>
      <c r="F130" s="37">
        <f t="shared" si="8"/>
        <v>20564.917557308952</v>
      </c>
      <c r="G130" s="20">
        <v>20421</v>
      </c>
      <c r="H130" s="37">
        <f t="shared" si="9"/>
        <v>-143.91755730895238</v>
      </c>
      <c r="I130" s="37">
        <f t="shared" si="10"/>
        <v>20712.263301775594</v>
      </c>
    </row>
    <row r="131" spans="1:9" x14ac:dyDescent="0.35">
      <c r="A131" s="10">
        <v>107</v>
      </c>
      <c r="B131" s="24">
        <v>9.9376393837532451</v>
      </c>
      <c r="C131" s="24">
        <v>1.1093838757068042E-2</v>
      </c>
      <c r="D131" s="37">
        <f t="shared" si="7"/>
        <v>20694.834017875306</v>
      </c>
      <c r="E131" s="36">
        <v>0.99924985141460465</v>
      </c>
      <c r="F131" s="37">
        <f t="shared" si="8"/>
        <v>20679.309817411806</v>
      </c>
      <c r="G131" s="20">
        <v>20910</v>
      </c>
      <c r="H131" s="37">
        <f t="shared" si="9"/>
        <v>230.69018258819415</v>
      </c>
      <c r="I131" s="37">
        <f t="shared" si="10"/>
        <v>53217.960342574355</v>
      </c>
    </row>
    <row r="132" spans="1:9" x14ac:dyDescent="0.35">
      <c r="A132" s="10">
        <v>108</v>
      </c>
      <c r="B132" s="24">
        <v>9.9404021682285659</v>
      </c>
      <c r="C132" s="24">
        <v>-1.7952114983369682E-2</v>
      </c>
      <c r="D132" s="37">
        <f t="shared" si="7"/>
        <v>20752.088438412866</v>
      </c>
      <c r="E132" s="36">
        <v>1.0121735261994504</v>
      </c>
      <c r="F132" s="37">
        <f t="shared" si="8"/>
        <v>21004.714530711197</v>
      </c>
      <c r="G132" s="20">
        <v>20631</v>
      </c>
      <c r="H132" s="37">
        <f t="shared" si="9"/>
        <v>-373.71453071119686</v>
      </c>
      <c r="I132" s="37">
        <f t="shared" si="10"/>
        <v>139662.55046469011</v>
      </c>
    </row>
    <row r="133" spans="1:9" x14ac:dyDescent="0.35">
      <c r="A133" s="10">
        <v>109</v>
      </c>
      <c r="B133" s="24">
        <v>9.9431649527038868</v>
      </c>
      <c r="C133" s="24">
        <v>1.4071635221121426E-2</v>
      </c>
      <c r="D133" s="37">
        <f t="shared" si="7"/>
        <v>20809.501259286866</v>
      </c>
      <c r="E133" s="36">
        <v>0.98079097156469441</v>
      </c>
      <c r="F133" s="37">
        <f t="shared" si="8"/>
        <v>20409.770957872697</v>
      </c>
      <c r="G133" s="20">
        <v>20699</v>
      </c>
      <c r="H133" s="37">
        <f t="shared" si="9"/>
        <v>289.22904212730282</v>
      </c>
      <c r="I133" s="37">
        <f t="shared" si="10"/>
        <v>83653.438809877101</v>
      </c>
    </row>
    <row r="134" spans="1:9" x14ac:dyDescent="0.35">
      <c r="A134" s="10">
        <v>110</v>
      </c>
      <c r="B134" s="24">
        <v>9.9459277371792059</v>
      </c>
      <c r="C134" s="24">
        <v>6.2056768393770056E-3</v>
      </c>
      <c r="D134" s="37">
        <f t="shared" si="7"/>
        <v>20867.072918728354</v>
      </c>
      <c r="E134" s="36">
        <v>1.0323394347969677</v>
      </c>
      <c r="F134" s="37">
        <f t="shared" si="8"/>
        <v>21541.902262787138</v>
      </c>
      <c r="G134" s="20">
        <v>21676</v>
      </c>
      <c r="H134" s="37">
        <f t="shared" si="9"/>
        <v>134.09773721286183</v>
      </c>
      <c r="I134" s="37">
        <f t="shared" si="10"/>
        <v>17982.203125609747</v>
      </c>
    </row>
    <row r="135" spans="1:9" x14ac:dyDescent="0.35">
      <c r="A135" s="10">
        <v>111</v>
      </c>
      <c r="B135" s="24">
        <v>9.9486905216545267</v>
      </c>
      <c r="C135" s="24">
        <v>-2.6958531958586107E-2</v>
      </c>
      <c r="D135" s="37">
        <f t="shared" si="7"/>
        <v>20924.803856180897</v>
      </c>
      <c r="E135" s="36">
        <v>0.9922802514367296</v>
      </c>
      <c r="F135" s="37">
        <f t="shared" si="8"/>
        <v>20763.26963167543</v>
      </c>
      <c r="G135" s="20">
        <v>20211</v>
      </c>
      <c r="H135" s="37">
        <f t="shared" si="9"/>
        <v>-552.26963167542999</v>
      </c>
      <c r="I135" s="37">
        <f t="shared" si="10"/>
        <v>305001.74607091513</v>
      </c>
    </row>
    <row r="136" spans="1:9" x14ac:dyDescent="0.35">
      <c r="A136" s="10">
        <v>112</v>
      </c>
      <c r="B136" s="24">
        <v>9.9514533061298458</v>
      </c>
      <c r="C136" s="24">
        <v>3.4284711835709913E-2</v>
      </c>
      <c r="D136" s="37">
        <f t="shared" si="7"/>
        <v>20982.694512303682</v>
      </c>
      <c r="E136" s="36">
        <v>1.1073678838309451</v>
      </c>
      <c r="F136" s="37">
        <f t="shared" si="8"/>
        <v>23235.562019160912</v>
      </c>
      <c r="G136" s="20">
        <v>24046</v>
      </c>
      <c r="H136" s="37">
        <f t="shared" si="9"/>
        <v>810.43798083908769</v>
      </c>
      <c r="I136" s="37">
        <f t="shared" si="10"/>
        <v>656809.72078653751</v>
      </c>
    </row>
    <row r="137" spans="1:9" x14ac:dyDescent="0.35">
      <c r="A137" s="10">
        <v>113</v>
      </c>
      <c r="B137" s="24">
        <v>9.9542160906051667</v>
      </c>
      <c r="C137" s="24">
        <v>8.3018458207373413E-3</v>
      </c>
      <c r="D137" s="37">
        <f t="shared" si="7"/>
        <v>21040.745328975168</v>
      </c>
      <c r="E137" s="36">
        <v>1.0234185080278571</v>
      </c>
      <c r="F137" s="37">
        <f t="shared" si="8"/>
        <v>21533.488192373869</v>
      </c>
      <c r="G137" s="20">
        <v>21713</v>
      </c>
      <c r="H137" s="37">
        <f t="shared" si="9"/>
        <v>179.51180762613149</v>
      </c>
      <c r="I137" s="37">
        <f t="shared" si="10"/>
        <v>32224.489077201237</v>
      </c>
    </row>
    <row r="138" spans="1:9" x14ac:dyDescent="0.35">
      <c r="A138" s="10">
        <v>114</v>
      </c>
      <c r="B138" s="24">
        <v>9.9569788750804857</v>
      </c>
      <c r="C138" s="24">
        <v>-1.6503571964827657E-2</v>
      </c>
      <c r="D138" s="37">
        <f t="shared" si="7"/>
        <v>21098.956749296176</v>
      </c>
      <c r="E138" s="36">
        <v>0.96778361364008814</v>
      </c>
      <c r="F138" s="37">
        <f t="shared" si="8"/>
        <v>20419.224606869779</v>
      </c>
      <c r="G138" s="20">
        <v>20085</v>
      </c>
      <c r="H138" s="37">
        <f t="shared" si="9"/>
        <v>-334.22460686977865</v>
      </c>
      <c r="I138" s="37">
        <f t="shared" si="10"/>
        <v>111706.08783725809</v>
      </c>
    </row>
    <row r="139" spans="1:9" x14ac:dyDescent="0.35">
      <c r="A139" s="10">
        <v>115</v>
      </c>
      <c r="B139" s="24">
        <v>9.9597416595558066</v>
      </c>
      <c r="C139" s="24">
        <v>9.4442191870154346E-3</v>
      </c>
      <c r="D139" s="37">
        <f t="shared" si="7"/>
        <v>21157.329217593553</v>
      </c>
      <c r="E139" s="36">
        <v>1.0471910079749045</v>
      </c>
      <c r="F139" s="37">
        <f t="shared" si="8"/>
        <v>22155.76490942869</v>
      </c>
      <c r="G139" s="20">
        <v>22366</v>
      </c>
      <c r="H139" s="37">
        <f t="shared" si="9"/>
        <v>210.23509057131014</v>
      </c>
      <c r="I139" s="37">
        <f t="shared" si="10"/>
        <v>44198.793307526976</v>
      </c>
    </row>
    <row r="140" spans="1:9" x14ac:dyDescent="0.35">
      <c r="A140" s="10">
        <v>116</v>
      </c>
      <c r="B140" s="24">
        <v>9.9625044440311274</v>
      </c>
      <c r="C140" s="24">
        <v>9.8970336282455662E-3</v>
      </c>
      <c r="D140" s="37">
        <f t="shared" si="7"/>
        <v>21215.863179423319</v>
      </c>
      <c r="E140" s="36">
        <v>1.0057927338780821</v>
      </c>
      <c r="F140" s="37">
        <f t="shared" si="8"/>
        <v>21338.761028815519</v>
      </c>
      <c r="G140" s="20">
        <v>21551</v>
      </c>
      <c r="H140" s="37">
        <f t="shared" si="9"/>
        <v>212.23897118448076</v>
      </c>
      <c r="I140" s="37">
        <f t="shared" si="10"/>
        <v>45045.380889446853</v>
      </c>
    </row>
    <row r="141" spans="1:9" x14ac:dyDescent="0.35">
      <c r="A141" s="10">
        <v>117</v>
      </c>
      <c r="B141" s="24">
        <v>9.9652672285064465</v>
      </c>
      <c r="C141" s="24">
        <v>-2.1940024907273425E-2</v>
      </c>
      <c r="D141" s="37">
        <f t="shared" si="7"/>
        <v>21274.559081574163</v>
      </c>
      <c r="E141" s="36">
        <v>1.0311404366997561</v>
      </c>
      <c r="F141" s="37">
        <f t="shared" si="8"/>
        <v>21937.058141969144</v>
      </c>
      <c r="G141" s="20">
        <v>21461</v>
      </c>
      <c r="H141" s="37">
        <f t="shared" si="9"/>
        <v>-476.05814196914434</v>
      </c>
      <c r="I141" s="37">
        <f t="shared" si="10"/>
        <v>226631.35453511399</v>
      </c>
    </row>
    <row r="142" spans="1:9" x14ac:dyDescent="0.35">
      <c r="A142" s="10">
        <v>118</v>
      </c>
      <c r="B142" s="24">
        <v>9.9680300129817674</v>
      </c>
      <c r="C142" s="24">
        <v>1.0801169805821687E-2</v>
      </c>
      <c r="D142" s="37">
        <f t="shared" si="7"/>
        <v>21333.41737207098</v>
      </c>
      <c r="E142" s="36">
        <v>0.99647151229008235</v>
      </c>
      <c r="F142" s="37">
        <f t="shared" si="8"/>
        <v>21258.142671063084</v>
      </c>
      <c r="G142" s="20">
        <v>21489</v>
      </c>
      <c r="H142" s="37">
        <f t="shared" si="9"/>
        <v>230.85732893691602</v>
      </c>
      <c r="I142" s="37">
        <f t="shared" si="10"/>
        <v>53295.106323887441</v>
      </c>
    </row>
    <row r="143" spans="1:9" x14ac:dyDescent="0.35">
      <c r="A143" s="10">
        <v>119</v>
      </c>
      <c r="B143" s="24">
        <v>9.9707927974570865</v>
      </c>
      <c r="C143" s="24">
        <v>1.8429509071671291E-2</v>
      </c>
      <c r="D143" s="37">
        <f t="shared" si="7"/>
        <v>21392.438500178025</v>
      </c>
      <c r="E143" s="36">
        <v>0.99924985141460465</v>
      </c>
      <c r="F143" s="37">
        <f t="shared" si="8"/>
        <v>21376.390992698958</v>
      </c>
      <c r="G143" s="20">
        <v>21774</v>
      </c>
      <c r="H143" s="37">
        <f t="shared" si="9"/>
        <v>397.60900730104186</v>
      </c>
      <c r="I143" s="37">
        <f t="shared" si="10"/>
        <v>158092.92268691995</v>
      </c>
    </row>
    <row r="144" spans="1:9" x14ac:dyDescent="0.35">
      <c r="A144" s="10">
        <v>120</v>
      </c>
      <c r="B144" s="24">
        <v>9.9735555819324073</v>
      </c>
      <c r="C144" s="24">
        <v>-8.3136855685488342E-3</v>
      </c>
      <c r="D144" s="37">
        <f t="shared" si="7"/>
        <v>21451.622916402626</v>
      </c>
      <c r="E144" s="36">
        <v>1.0121735261994504</v>
      </c>
      <c r="F144" s="37">
        <f t="shared" si="8"/>
        <v>21712.764809996184</v>
      </c>
      <c r="G144" s="20">
        <v>21533</v>
      </c>
      <c r="H144" s="37">
        <f t="shared" si="9"/>
        <v>-179.76480999618434</v>
      </c>
      <c r="I144" s="37">
        <f t="shared" si="10"/>
        <v>32315.386912964259</v>
      </c>
    </row>
    <row r="145" spans="1:9" x14ac:dyDescent="0.35">
      <c r="A145" s="10">
        <v>121</v>
      </c>
      <c r="B145" s="24">
        <v>9.9763183664077282</v>
      </c>
      <c r="C145" s="24">
        <v>4.2693132239836729E-2</v>
      </c>
      <c r="D145" s="37">
        <f t="shared" si="7"/>
        <v>21510.971072498392</v>
      </c>
      <c r="E145" s="36">
        <v>0.98079097156469441</v>
      </c>
      <c r="F145" s="37">
        <f t="shared" si="8"/>
        <v>21097.766217495733</v>
      </c>
      <c r="G145" s="20">
        <v>22018</v>
      </c>
      <c r="H145" s="37">
        <f t="shared" si="9"/>
        <v>920.23378250426686</v>
      </c>
      <c r="I145" s="37">
        <f t="shared" si="10"/>
        <v>846830.21446211031</v>
      </c>
    </row>
    <row r="146" spans="1:9" x14ac:dyDescent="0.35">
      <c r="A146" s="10">
        <v>122</v>
      </c>
      <c r="B146" s="24">
        <v>9.9790811508830473</v>
      </c>
      <c r="C146" s="24">
        <v>1.5902095017658269E-2</v>
      </c>
      <c r="D146" s="37">
        <f t="shared" si="7"/>
        <v>21570.48342146874</v>
      </c>
      <c r="E146" s="36">
        <v>1.0323394347969677</v>
      </c>
      <c r="F146" s="37">
        <f t="shared" si="8"/>
        <v>22268.060663616401</v>
      </c>
      <c r="G146" s="20">
        <v>22625</v>
      </c>
      <c r="H146" s="37">
        <f t="shared" si="9"/>
        <v>356.93933638359886</v>
      </c>
      <c r="I146" s="37">
        <f t="shared" si="10"/>
        <v>127405.68985796394</v>
      </c>
    </row>
    <row r="147" spans="1:9" x14ac:dyDescent="0.35">
      <c r="A147" s="10">
        <v>123</v>
      </c>
      <c r="B147" s="24">
        <v>9.9818439353583681</v>
      </c>
      <c r="C147" s="24">
        <v>8.2969148403968518E-3</v>
      </c>
      <c r="D147" s="37">
        <f t="shared" si="7"/>
        <v>21630.160417570492</v>
      </c>
      <c r="E147" s="36">
        <v>0.9922802514367296</v>
      </c>
      <c r="F147" s="37">
        <f t="shared" si="8"/>
        <v>21463.181017763643</v>
      </c>
      <c r="G147" s="20">
        <v>21642</v>
      </c>
      <c r="H147" s="37">
        <f t="shared" si="9"/>
        <v>178.81898223635653</v>
      </c>
      <c r="I147" s="37">
        <f t="shared" si="10"/>
        <v>31976.228408046394</v>
      </c>
    </row>
    <row r="148" spans="1:9" x14ac:dyDescent="0.35">
      <c r="A148" s="10">
        <v>124</v>
      </c>
      <c r="B148" s="24">
        <v>9.9846067198336872</v>
      </c>
      <c r="C148" s="24">
        <v>4.848270723001491E-2</v>
      </c>
      <c r="D148" s="37">
        <f t="shared" si="7"/>
        <v>21690.002516317065</v>
      </c>
      <c r="E148" s="36">
        <v>1.1073678838309451</v>
      </c>
      <c r="F148" s="37">
        <f t="shared" si="8"/>
        <v>24018.812186781903</v>
      </c>
      <c r="G148" s="20">
        <v>25212</v>
      </c>
      <c r="H148" s="37">
        <f t="shared" si="9"/>
        <v>1193.1878132180973</v>
      </c>
      <c r="I148" s="37">
        <f t="shared" si="10"/>
        <v>1423697.157612185</v>
      </c>
    </row>
    <row r="149" spans="1:9" x14ac:dyDescent="0.35">
      <c r="A149" s="10">
        <v>125</v>
      </c>
      <c r="B149" s="24">
        <v>9.9873695043090081</v>
      </c>
      <c r="C149" s="24">
        <v>-4.6092537415987067E-3</v>
      </c>
      <c r="D149" s="37">
        <f t="shared" si="7"/>
        <v>21750.01017448225</v>
      </c>
      <c r="E149" s="36">
        <v>1.0234185080278571</v>
      </c>
      <c r="F149" s="37">
        <f t="shared" si="8"/>
        <v>22259.362962359333</v>
      </c>
      <c r="G149" s="20">
        <v>22157</v>
      </c>
      <c r="H149" s="37">
        <f t="shared" si="9"/>
        <v>-102.36296235933332</v>
      </c>
      <c r="I149" s="37">
        <f t="shared" si="10"/>
        <v>10478.176062978291</v>
      </c>
    </row>
    <row r="150" spans="1:9" x14ac:dyDescent="0.35">
      <c r="A150" s="10">
        <v>126</v>
      </c>
      <c r="B150" s="24">
        <v>9.9901322887843271</v>
      </c>
      <c r="C150" s="24">
        <v>5.8984177130747995E-2</v>
      </c>
      <c r="D150" s="37">
        <f t="shared" si="7"/>
        <v>21810.183850103396</v>
      </c>
      <c r="E150" s="36">
        <v>0.96778361364008814</v>
      </c>
      <c r="F150" s="37">
        <f t="shared" si="8"/>
        <v>21107.538540607755</v>
      </c>
      <c r="G150" s="20">
        <v>22390</v>
      </c>
      <c r="H150" s="37">
        <f t="shared" si="9"/>
        <v>1282.4614593922452</v>
      </c>
      <c r="I150" s="37">
        <f t="shared" si="10"/>
        <v>1644707.3948264872</v>
      </c>
    </row>
    <row r="151" spans="1:9" x14ac:dyDescent="0.35">
      <c r="A151" s="10">
        <v>127</v>
      </c>
      <c r="B151" s="24">
        <v>9.992895073259648</v>
      </c>
      <c r="C151" s="24">
        <v>2.7874677339603693E-2</v>
      </c>
      <c r="D151" s="37">
        <f t="shared" si="7"/>
        <v>21870.524002485228</v>
      </c>
      <c r="E151" s="36">
        <v>1.0471910079749045</v>
      </c>
      <c r="F151" s="37">
        <f t="shared" si="8"/>
        <v>22902.616075101851</v>
      </c>
      <c r="G151" s="20">
        <v>23550</v>
      </c>
      <c r="H151" s="37">
        <f t="shared" si="9"/>
        <v>647.38392489814942</v>
      </c>
      <c r="I151" s="37">
        <f t="shared" si="10"/>
        <v>419105.94621653279</v>
      </c>
    </row>
    <row r="152" spans="1:9" x14ac:dyDescent="0.35">
      <c r="A152" s="10">
        <v>128</v>
      </c>
      <c r="B152" s="24">
        <v>9.9956578577349688</v>
      </c>
      <c r="C152" s="24">
        <v>2.6481252668011379E-2</v>
      </c>
      <c r="D152" s="37">
        <f t="shared" si="7"/>
        <v>21931.031092203048</v>
      </c>
      <c r="E152" s="36">
        <v>1.0057927338780821</v>
      </c>
      <c r="F152" s="37">
        <f t="shared" si="8"/>
        <v>22058.071718992123</v>
      </c>
      <c r="G152" s="20">
        <v>22650</v>
      </c>
      <c r="H152" s="37">
        <f t="shared" si="9"/>
        <v>591.92828100787665</v>
      </c>
      <c r="I152" s="37">
        <f t="shared" si="10"/>
        <v>350379.0898569398</v>
      </c>
    </row>
    <row r="153" spans="1:9" x14ac:dyDescent="0.35">
      <c r="A153" s="10">
        <v>129</v>
      </c>
      <c r="B153" s="24">
        <v>9.9984206422102879</v>
      </c>
      <c r="C153" s="24">
        <v>1.8112158169831361E-2</v>
      </c>
      <c r="D153" s="37">
        <f t="shared" si="7"/>
        <v>21991.705581106406</v>
      </c>
      <c r="E153" s="36">
        <v>1.0311404366997561</v>
      </c>
      <c r="F153" s="37">
        <f t="shared" si="8"/>
        <v>22676.536896674523</v>
      </c>
      <c r="G153" s="20">
        <v>23091</v>
      </c>
      <c r="H153" s="37">
        <f t="shared" si="9"/>
        <v>414.46310332547728</v>
      </c>
      <c r="I153" s="37">
        <f t="shared" si="10"/>
        <v>171779.66401818526</v>
      </c>
    </row>
    <row r="154" spans="1:9" x14ac:dyDescent="0.35">
      <c r="A154" s="10">
        <v>130</v>
      </c>
      <c r="B154" s="24">
        <v>10.001183426685609</v>
      </c>
      <c r="C154" s="24">
        <v>3.2295277308106662E-2</v>
      </c>
      <c r="D154" s="37">
        <f t="shared" ref="D154:D204" si="11">EXP(B154)</f>
        <v>22052.547932322715</v>
      </c>
      <c r="E154" s="36">
        <v>0.99647151229008235</v>
      </c>
      <c r="F154" s="37">
        <f t="shared" ref="F154:F204" si="12">E154*D154</f>
        <v>21974.735787971145</v>
      </c>
      <c r="G154" s="20">
        <v>22696</v>
      </c>
      <c r="H154" s="37">
        <f t="shared" ref="H154:H204" si="13">G154-F154</f>
        <v>721.26421202885467</v>
      </c>
      <c r="I154" s="37">
        <f t="shared" ref="I154:I204" si="14">H154*H154</f>
        <v>520222.06355360465</v>
      </c>
    </row>
    <row r="155" spans="1:9" x14ac:dyDescent="0.35">
      <c r="A155" s="10">
        <v>131</v>
      </c>
      <c r="B155" s="24">
        <v>10.003946211160928</v>
      </c>
      <c r="C155" s="24">
        <v>2.7129715619818029E-3</v>
      </c>
      <c r="D155" s="37">
        <f t="shared" si="11"/>
        <v>22113.558610260527</v>
      </c>
      <c r="E155" s="36">
        <v>0.99924985141460465</v>
      </c>
      <c r="F155" s="37">
        <f t="shared" si="12"/>
        <v>22096.970155550982</v>
      </c>
      <c r="G155" s="20">
        <v>22157</v>
      </c>
      <c r="H155" s="37">
        <f t="shared" si="13"/>
        <v>60.029844449018128</v>
      </c>
      <c r="I155" s="37">
        <f t="shared" si="14"/>
        <v>3603.5822245733125</v>
      </c>
    </row>
    <row r="156" spans="1:9" x14ac:dyDescent="0.35">
      <c r="A156" s="10">
        <v>132</v>
      </c>
      <c r="B156" s="24">
        <v>10.006708995636249</v>
      </c>
      <c r="C156" s="24">
        <v>2.3962099259515313E-2</v>
      </c>
      <c r="D156" s="37">
        <f t="shared" si="11"/>
        <v>22174.738080613377</v>
      </c>
      <c r="E156" s="36">
        <v>1.0121735261994504</v>
      </c>
      <c r="F156" s="37">
        <f t="shared" si="12"/>
        <v>22444.682835603675</v>
      </c>
      <c r="G156" s="20">
        <v>22989</v>
      </c>
      <c r="H156" s="37">
        <f t="shared" si="13"/>
        <v>544.3171643963251</v>
      </c>
      <c r="I156" s="37">
        <f t="shared" si="14"/>
        <v>296281.17545645603</v>
      </c>
    </row>
    <row r="157" spans="1:9" x14ac:dyDescent="0.35">
      <c r="A157" s="10">
        <v>133</v>
      </c>
      <c r="B157" s="24">
        <v>10.00947178011157</v>
      </c>
      <c r="C157" s="24">
        <v>1.8267079544155962E-2</v>
      </c>
      <c r="D157" s="37">
        <f t="shared" si="11"/>
        <v>22236.086810363082</v>
      </c>
      <c r="E157" s="36">
        <v>0.98079097156469441</v>
      </c>
      <c r="F157" s="37">
        <f t="shared" si="12"/>
        <v>21808.953186532894</v>
      </c>
      <c r="G157" s="20">
        <v>22211</v>
      </c>
      <c r="H157" s="37">
        <f t="shared" si="13"/>
        <v>402.0468134671064</v>
      </c>
      <c r="I157" s="37">
        <f t="shared" si="14"/>
        <v>161641.64021905424</v>
      </c>
    </row>
    <row r="158" spans="1:9" x14ac:dyDescent="0.35">
      <c r="A158" s="10">
        <v>134</v>
      </c>
      <c r="B158" s="24">
        <v>10.012234564586889</v>
      </c>
      <c r="C158" s="24">
        <v>-4.0910211605236668E-2</v>
      </c>
      <c r="D158" s="37">
        <f t="shared" si="11"/>
        <v>22297.605267783405</v>
      </c>
      <c r="E158" s="36">
        <v>1.0323394347969677</v>
      </c>
      <c r="F158" s="37">
        <f t="shared" si="12"/>
        <v>23018.69721946941</v>
      </c>
      <c r="G158" s="20">
        <v>22096</v>
      </c>
      <c r="H158" s="37">
        <f t="shared" si="13"/>
        <v>-922.6972194694099</v>
      </c>
      <c r="I158" s="37">
        <f t="shared" si="14"/>
        <v>851370.15881658043</v>
      </c>
    </row>
    <row r="159" spans="1:9" x14ac:dyDescent="0.35">
      <c r="A159" s="10">
        <v>135</v>
      </c>
      <c r="B159" s="24">
        <v>10.01499734906221</v>
      </c>
      <c r="C159" s="24">
        <v>-1.510839886434745E-2</v>
      </c>
      <c r="D159" s="37">
        <f t="shared" si="11"/>
        <v>22359.293922443761</v>
      </c>
      <c r="E159" s="36">
        <v>0.9922802514367296</v>
      </c>
      <c r="F159" s="37">
        <f t="shared" si="12"/>
        <v>22186.685795310237</v>
      </c>
      <c r="G159" s="20">
        <v>21854</v>
      </c>
      <c r="H159" s="37">
        <f t="shared" si="13"/>
        <v>-332.68579531023715</v>
      </c>
      <c r="I159" s="37">
        <f t="shared" si="14"/>
        <v>110679.83840120501</v>
      </c>
    </row>
    <row r="160" spans="1:9" x14ac:dyDescent="0.35">
      <c r="A160" s="10">
        <v>136</v>
      </c>
      <c r="B160" s="24">
        <v>10.017760133537529</v>
      </c>
      <c r="C160" s="24">
        <v>-1.3766740987362525E-2</v>
      </c>
      <c r="D160" s="37">
        <f t="shared" si="11"/>
        <v>22421.153245212518</v>
      </c>
      <c r="E160" s="36">
        <v>1.1073678838309451</v>
      </c>
      <c r="F160" s="37">
        <f t="shared" si="12"/>
        <v>24828.465022200311</v>
      </c>
      <c r="G160" s="20">
        <v>24489</v>
      </c>
      <c r="H160" s="37">
        <f t="shared" si="13"/>
        <v>-339.46502220031107</v>
      </c>
      <c r="I160" s="37">
        <f t="shared" si="14"/>
        <v>115236.50129745768</v>
      </c>
    </row>
    <row r="161" spans="1:9" x14ac:dyDescent="0.35">
      <c r="A161" s="10">
        <v>137</v>
      </c>
      <c r="B161" s="24">
        <v>10.020522918012849</v>
      </c>
      <c r="C161" s="24">
        <v>-2.7793121965562051E-2</v>
      </c>
      <c r="D161" s="37">
        <f t="shared" si="11"/>
        <v>22483.183708260909</v>
      </c>
      <c r="E161" s="36">
        <v>1.0234185080278571</v>
      </c>
      <c r="F161" s="37">
        <f t="shared" si="12"/>
        <v>23009.706326424603</v>
      </c>
      <c r="G161" s="20">
        <v>22379</v>
      </c>
      <c r="H161" s="37">
        <f t="shared" si="13"/>
        <v>-630.70632642460259</v>
      </c>
      <c r="I161" s="37">
        <f t="shared" si="14"/>
        <v>397790.47019201738</v>
      </c>
    </row>
    <row r="162" spans="1:9" x14ac:dyDescent="0.35">
      <c r="A162" s="10">
        <v>138</v>
      </c>
      <c r="B162" s="24">
        <v>10.023285702488169</v>
      </c>
      <c r="C162" s="24">
        <v>-2.7179996592375133E-2</v>
      </c>
      <c r="D162" s="37">
        <f t="shared" si="11"/>
        <v>22545.385785066319</v>
      </c>
      <c r="E162" s="36">
        <v>0.96778361364008814</v>
      </c>
      <c r="F162" s="37">
        <f t="shared" si="12"/>
        <v>21819.054925981356</v>
      </c>
      <c r="G162" s="20">
        <v>21234</v>
      </c>
      <c r="H162" s="37">
        <f t="shared" si="13"/>
        <v>-585.05492598135606</v>
      </c>
      <c r="I162" s="37">
        <f t="shared" si="14"/>
        <v>342289.26641505002</v>
      </c>
    </row>
    <row r="163" spans="1:9" x14ac:dyDescent="0.35">
      <c r="A163" s="10">
        <v>139</v>
      </c>
      <c r="B163" s="24">
        <v>10.026048486963489</v>
      </c>
      <c r="C163" s="24">
        <v>-1.3893229485120173E-2</v>
      </c>
      <c r="D163" s="37">
        <f t="shared" si="11"/>
        <v>22607.759950416217</v>
      </c>
      <c r="E163" s="36">
        <v>1.0471910079749045</v>
      </c>
      <c r="F163" s="37">
        <f t="shared" si="12"/>
        <v>23674.642930531034</v>
      </c>
      <c r="G163" s="20">
        <v>23348</v>
      </c>
      <c r="H163" s="37">
        <f t="shared" si="13"/>
        <v>-326.64293053103393</v>
      </c>
      <c r="I163" s="37">
        <f t="shared" si="14"/>
        <v>106695.60406590186</v>
      </c>
    </row>
    <row r="164" spans="1:9" x14ac:dyDescent="0.35">
      <c r="A164" s="10">
        <v>140</v>
      </c>
      <c r="B164" s="24">
        <v>10.02881127143881</v>
      </c>
      <c r="C164" s="24">
        <v>-2.2514428997441271E-2</v>
      </c>
      <c r="D164" s="37">
        <f t="shared" si="11"/>
        <v>22670.306680411501</v>
      </c>
      <c r="E164" s="36">
        <v>1.0057927338780821</v>
      </c>
      <c r="F164" s="37">
        <f t="shared" si="12"/>
        <v>22801.629733945632</v>
      </c>
      <c r="G164" s="20">
        <v>22294</v>
      </c>
      <c r="H164" s="37">
        <f t="shared" si="13"/>
        <v>-507.62973394563232</v>
      </c>
      <c r="I164" s="37">
        <f t="shared" si="14"/>
        <v>257687.94678571346</v>
      </c>
    </row>
    <row r="165" spans="1:9" x14ac:dyDescent="0.35">
      <c r="A165" s="10">
        <v>141</v>
      </c>
      <c r="B165" s="24">
        <v>10.031574055914129</v>
      </c>
      <c r="C165" s="24">
        <v>1.2550825444513691E-2</v>
      </c>
      <c r="D165" s="37">
        <f t="shared" si="11"/>
        <v>22733.026452470254</v>
      </c>
      <c r="E165" s="36">
        <v>1.0311404366997561</v>
      </c>
      <c r="F165" s="37">
        <f t="shared" si="12"/>
        <v>23440.942823707286</v>
      </c>
      <c r="G165" s="20">
        <v>23737</v>
      </c>
      <c r="H165" s="37">
        <f t="shared" si="13"/>
        <v>296.05717629271385</v>
      </c>
      <c r="I165" s="37">
        <f t="shared" si="14"/>
        <v>87649.851634415041</v>
      </c>
    </row>
    <row r="166" spans="1:9" x14ac:dyDescent="0.35">
      <c r="A166" s="10">
        <v>142</v>
      </c>
      <c r="B166" s="24">
        <v>10.03433684038945</v>
      </c>
      <c r="C166" s="24">
        <v>1.4835831756384366E-2</v>
      </c>
      <c r="D166" s="37">
        <f t="shared" si="11"/>
        <v>22795.919745331499</v>
      </c>
      <c r="E166" s="36">
        <v>0.99647151229008235</v>
      </c>
      <c r="F166" s="37">
        <f t="shared" si="12"/>
        <v>22715.484622673826</v>
      </c>
      <c r="G166" s="20">
        <v>23055</v>
      </c>
      <c r="H166" s="37">
        <f t="shared" si="13"/>
        <v>339.51537732617362</v>
      </c>
      <c r="I166" s="37">
        <f t="shared" si="14"/>
        <v>115270.69144093405</v>
      </c>
    </row>
    <row r="167" spans="1:9" x14ac:dyDescent="0.35">
      <c r="A167" s="10">
        <v>143</v>
      </c>
      <c r="B167" s="24">
        <v>10.037099624864769</v>
      </c>
      <c r="C167" s="24">
        <v>-2.4231477715558114E-2</v>
      </c>
      <c r="D167" s="37">
        <f t="shared" si="11"/>
        <v>22858.987039058593</v>
      </c>
      <c r="E167" s="36">
        <v>0.99924985141460465</v>
      </c>
      <c r="F167" s="37">
        <f t="shared" si="12"/>
        <v>22841.839402267673</v>
      </c>
      <c r="G167" s="20">
        <v>22295</v>
      </c>
      <c r="H167" s="37">
        <f t="shared" si="13"/>
        <v>-546.83940226767299</v>
      </c>
      <c r="I167" s="37">
        <f t="shared" si="14"/>
        <v>299033.3318724659</v>
      </c>
    </row>
    <row r="168" spans="1:9" x14ac:dyDescent="0.35">
      <c r="A168" s="10">
        <v>144</v>
      </c>
      <c r="B168" s="24">
        <v>10.03986240934009</v>
      </c>
      <c r="C168" s="24">
        <v>1.4493946731427343E-2</v>
      </c>
      <c r="D168" s="37">
        <f t="shared" si="11"/>
        <v>22922.228815043185</v>
      </c>
      <c r="E168" s="36">
        <v>1.0121735261994504</v>
      </c>
      <c r="F168" s="37">
        <f t="shared" si="12"/>
        <v>23201.273168072912</v>
      </c>
      <c r="G168" s="20">
        <v>23540</v>
      </c>
      <c r="H168" s="37">
        <f t="shared" si="13"/>
        <v>338.72683192708791</v>
      </c>
      <c r="I168" s="37">
        <f t="shared" si="14"/>
        <v>114735.86666736167</v>
      </c>
    </row>
    <row r="169" spans="1:9" x14ac:dyDescent="0.35">
      <c r="A169" s="10">
        <v>145</v>
      </c>
      <c r="B169" s="24">
        <v>10.042625193815411</v>
      </c>
      <c r="C169" s="24">
        <v>3.7140816648530972E-3</v>
      </c>
      <c r="D169" s="37">
        <f t="shared" si="11"/>
        <v>22985.645556008636</v>
      </c>
      <c r="E169" s="36">
        <v>0.98079097156469441</v>
      </c>
      <c r="F169" s="37">
        <f t="shared" si="12"/>
        <v>22544.11363691941</v>
      </c>
      <c r="G169" s="20">
        <v>22628</v>
      </c>
      <c r="H169" s="37">
        <f t="shared" si="13"/>
        <v>83.886363080589945</v>
      </c>
      <c r="I169" s="37">
        <f t="shared" si="14"/>
        <v>7036.9219108885636</v>
      </c>
    </row>
    <row r="170" spans="1:9" x14ac:dyDescent="0.35">
      <c r="A170" s="10">
        <v>146</v>
      </c>
      <c r="B170" s="24">
        <v>10.04538797829073</v>
      </c>
      <c r="C170" s="24">
        <v>1.2959065881570808E-2</v>
      </c>
      <c r="D170" s="37">
        <f t="shared" si="11"/>
        <v>23049.237746013801</v>
      </c>
      <c r="E170" s="36">
        <v>1.0323394347969677</v>
      </c>
      <c r="F170" s="37">
        <f t="shared" si="12"/>
        <v>23794.637067220821</v>
      </c>
      <c r="G170" s="20">
        <v>24105</v>
      </c>
      <c r="H170" s="37">
        <f t="shared" si="13"/>
        <v>310.36293277917866</v>
      </c>
      <c r="I170" s="37">
        <f t="shared" si="14"/>
        <v>96325.150043292975</v>
      </c>
    </row>
    <row r="171" spans="1:9" x14ac:dyDescent="0.35">
      <c r="A171" s="10">
        <v>147</v>
      </c>
      <c r="B171" s="24">
        <v>10.048150762766051</v>
      </c>
      <c r="C171" s="24">
        <v>1.8336565107807345E-2</v>
      </c>
      <c r="D171" s="37">
        <f t="shared" si="11"/>
        <v>23113.005870456866</v>
      </c>
      <c r="E171" s="36">
        <v>0.9922802514367296</v>
      </c>
      <c r="F171" s="37">
        <f t="shared" si="12"/>
        <v>22934.579276595545</v>
      </c>
      <c r="G171" s="20">
        <v>23359</v>
      </c>
      <c r="H171" s="37">
        <f t="shared" si="13"/>
        <v>424.4207234044552</v>
      </c>
      <c r="I171" s="37">
        <f t="shared" si="14"/>
        <v>180132.95045516107</v>
      </c>
    </row>
    <row r="172" spans="1:9" x14ac:dyDescent="0.35">
      <c r="A172" s="10">
        <v>148</v>
      </c>
      <c r="B172" s="24">
        <v>10.05091354724137</v>
      </c>
      <c r="C172" s="24">
        <v>-9.5292509560547245E-3</v>
      </c>
      <c r="D172" s="37">
        <f t="shared" si="11"/>
        <v>23176.950416078747</v>
      </c>
      <c r="E172" s="36">
        <v>1.1073678838309451</v>
      </c>
      <c r="F172" s="37">
        <f t="shared" si="12"/>
        <v>25665.410535907864</v>
      </c>
      <c r="G172" s="20">
        <v>25422</v>
      </c>
      <c r="H172" s="37">
        <f t="shared" si="13"/>
        <v>-243.41053590786396</v>
      </c>
      <c r="I172" s="37">
        <f t="shared" si="14"/>
        <v>59248.688990953531</v>
      </c>
    </row>
    <row r="173" spans="1:9" x14ac:dyDescent="0.35">
      <c r="A173" s="10">
        <v>149</v>
      </c>
      <c r="B173" s="24">
        <v>10.053676331716691</v>
      </c>
      <c r="C173" s="24">
        <v>2.0583411388876982E-2</v>
      </c>
      <c r="D173" s="37">
        <f t="shared" si="11"/>
        <v>23241.071870967156</v>
      </c>
      <c r="E173" s="36">
        <v>1.0234185080278571</v>
      </c>
      <c r="F173" s="37">
        <f t="shared" si="12"/>
        <v>23785.343099153404</v>
      </c>
      <c r="G173" s="20">
        <v>24280</v>
      </c>
      <c r="H173" s="37">
        <f t="shared" si="13"/>
        <v>494.65690084659582</v>
      </c>
      <c r="I173" s="37">
        <f t="shared" si="14"/>
        <v>244685.44955515894</v>
      </c>
    </row>
    <row r="174" spans="1:9" x14ac:dyDescent="0.35">
      <c r="A174" s="10">
        <v>150</v>
      </c>
      <c r="B174" s="24">
        <v>10.05643911619201</v>
      </c>
      <c r="C174" s="24">
        <v>-2.4576496320200647E-2</v>
      </c>
      <c r="D174" s="37">
        <f t="shared" si="11"/>
        <v>23305.370724559976</v>
      </c>
      <c r="E174" s="36">
        <v>0.96778361364008814</v>
      </c>
      <c r="F174" s="37">
        <f t="shared" si="12"/>
        <v>22554.555897036575</v>
      </c>
      <c r="G174" s="20">
        <v>22007</v>
      </c>
      <c r="H174" s="37">
        <f t="shared" si="13"/>
        <v>-547.55589703657461</v>
      </c>
      <c r="I174" s="37">
        <f t="shared" si="14"/>
        <v>299817.46037952788</v>
      </c>
    </row>
    <row r="175" spans="1:9" x14ac:dyDescent="0.35">
      <c r="A175" s="10">
        <v>151</v>
      </c>
      <c r="B175" s="24">
        <v>10.059201900667331</v>
      </c>
      <c r="C175" s="24">
        <v>-1.6384012846316409E-2</v>
      </c>
      <c r="D175" s="37">
        <f t="shared" si="11"/>
        <v>23369.847467649342</v>
      </c>
      <c r="E175" s="36">
        <v>1.0471910079749045</v>
      </c>
      <c r="F175" s="37">
        <f t="shared" si="12"/>
        <v>24472.694125867485</v>
      </c>
      <c r="G175" s="20">
        <v>24075</v>
      </c>
      <c r="H175" s="37">
        <f t="shared" si="13"/>
        <v>-397.69412586748513</v>
      </c>
      <c r="I175" s="37">
        <f t="shared" si="14"/>
        <v>158160.61774950312</v>
      </c>
    </row>
    <row r="176" spans="1:9" x14ac:dyDescent="0.35">
      <c r="A176" s="10">
        <v>152</v>
      </c>
      <c r="B176" s="24">
        <v>10.061964685142652</v>
      </c>
      <c r="C176" s="24">
        <v>-1.4024439868030925E-2</v>
      </c>
      <c r="D176" s="37">
        <f t="shared" si="11"/>
        <v>23434.502592385092</v>
      </c>
      <c r="E176" s="36">
        <v>1.0057927338780821</v>
      </c>
      <c r="F176" s="37">
        <f t="shared" si="12"/>
        <v>23570.252429468004</v>
      </c>
      <c r="G176" s="20">
        <v>23242</v>
      </c>
      <c r="H176" s="37">
        <f t="shared" si="13"/>
        <v>-328.25242946800427</v>
      </c>
      <c r="I176" s="37">
        <f t="shared" si="14"/>
        <v>107749.65745164712</v>
      </c>
    </row>
    <row r="177" spans="1:9" x14ac:dyDescent="0.35">
      <c r="A177" s="10">
        <v>153</v>
      </c>
      <c r="B177" s="24">
        <v>10.064727469617971</v>
      </c>
      <c r="C177" s="24">
        <v>2.5139665948188394E-2</v>
      </c>
      <c r="D177" s="37">
        <f t="shared" si="11"/>
        <v>23499.336592278643</v>
      </c>
      <c r="E177" s="36">
        <v>1.0311404366997561</v>
      </c>
      <c r="F177" s="37">
        <f t="shared" si="12"/>
        <v>24231.116195916758</v>
      </c>
      <c r="G177" s="20">
        <v>24848</v>
      </c>
      <c r="H177" s="37">
        <f t="shared" si="13"/>
        <v>616.88380408324156</v>
      </c>
      <c r="I177" s="37">
        <f t="shared" si="14"/>
        <v>380545.62774021114</v>
      </c>
    </row>
    <row r="178" spans="1:9" x14ac:dyDescent="0.35">
      <c r="A178" s="10">
        <v>154</v>
      </c>
      <c r="B178" s="24">
        <v>10.067490254093292</v>
      </c>
      <c r="C178" s="24">
        <v>-6.5030257576239592E-3</v>
      </c>
      <c r="D178" s="37">
        <f t="shared" si="11"/>
        <v>23564.349962206896</v>
      </c>
      <c r="E178" s="36">
        <v>0.99647151229008235</v>
      </c>
      <c r="F178" s="37">
        <f t="shared" si="12"/>
        <v>23481.203442973052</v>
      </c>
      <c r="G178" s="20">
        <v>23329</v>
      </c>
      <c r="H178" s="37">
        <f t="shared" si="13"/>
        <v>-152.20344297305201</v>
      </c>
      <c r="I178" s="37">
        <f t="shared" si="14"/>
        <v>23165.888052851093</v>
      </c>
    </row>
    <row r="179" spans="1:9" x14ac:dyDescent="0.35">
      <c r="A179" s="10">
        <v>155</v>
      </c>
      <c r="B179" s="24">
        <v>10.070253038568611</v>
      </c>
      <c r="C179" s="24">
        <v>-1.3060264678088629E-3</v>
      </c>
      <c r="D179" s="37">
        <f t="shared" si="11"/>
        <v>23629.543198415708</v>
      </c>
      <c r="E179" s="36">
        <v>0.99924985141460465</v>
      </c>
      <c r="F179" s="37">
        <f t="shared" si="12"/>
        <v>23611.817530011878</v>
      </c>
      <c r="G179" s="20">
        <v>23581</v>
      </c>
      <c r="H179" s="37">
        <f t="shared" si="13"/>
        <v>-30.817530011878262</v>
      </c>
      <c r="I179" s="37">
        <f t="shared" si="14"/>
        <v>949.72015603301736</v>
      </c>
    </row>
    <row r="180" spans="1:9" x14ac:dyDescent="0.35">
      <c r="A180" s="10">
        <v>156</v>
      </c>
      <c r="B180" s="24">
        <v>10.073015823043932</v>
      </c>
      <c r="C180" s="24">
        <v>3.1949651193954764E-2</v>
      </c>
      <c r="D180" s="37">
        <f t="shared" si="11"/>
        <v>23694.91679852402</v>
      </c>
      <c r="E180" s="36">
        <v>1.0121735261994504</v>
      </c>
      <c r="F180" s="37">
        <f t="shared" si="12"/>
        <v>23983.36748896465</v>
      </c>
      <c r="G180" s="20">
        <v>24762</v>
      </c>
      <c r="H180" s="37">
        <f t="shared" si="13"/>
        <v>778.63251103535003</v>
      </c>
      <c r="I180" s="37">
        <f t="shared" si="14"/>
        <v>606268.58724121447</v>
      </c>
    </row>
    <row r="181" spans="1:9" x14ac:dyDescent="0.35">
      <c r="A181" s="10">
        <v>157</v>
      </c>
      <c r="B181" s="24">
        <v>10.075778607519252</v>
      </c>
      <c r="C181" s="24">
        <v>-1.6181312650084934E-2</v>
      </c>
      <c r="D181" s="37">
        <f t="shared" si="11"/>
        <v>23760.47126152736</v>
      </c>
      <c r="E181" s="36">
        <v>0.98079097156469441</v>
      </c>
      <c r="F181" s="37">
        <f t="shared" si="12"/>
        <v>23304.055693428421</v>
      </c>
      <c r="G181" s="20">
        <v>22930</v>
      </c>
      <c r="H181" s="37">
        <f t="shared" si="13"/>
        <v>-374.05569342842136</v>
      </c>
      <c r="I181" s="37">
        <f t="shared" si="14"/>
        <v>139917.66178621716</v>
      </c>
    </row>
    <row r="182" spans="1:9" x14ac:dyDescent="0.35">
      <c r="A182" s="10">
        <v>158</v>
      </c>
      <c r="B182" s="24">
        <v>10.078541391994571</v>
      </c>
      <c r="C182" s="24">
        <v>4.0291166987705296E-2</v>
      </c>
      <c r="D182" s="37">
        <f t="shared" si="11"/>
        <v>23826.207087801788</v>
      </c>
      <c r="E182" s="36">
        <v>1.0323394347969677</v>
      </c>
      <c r="F182" s="37">
        <f t="shared" si="12"/>
        <v>24596.733158376803</v>
      </c>
      <c r="G182" s="20">
        <v>25608</v>
      </c>
      <c r="H182" s="37">
        <f t="shared" si="13"/>
        <v>1011.2668416231973</v>
      </c>
      <c r="I182" s="37">
        <f t="shared" si="14"/>
        <v>1022660.6249665567</v>
      </c>
    </row>
    <row r="183" spans="1:9" x14ac:dyDescent="0.35">
      <c r="A183" s="10">
        <v>159</v>
      </c>
      <c r="B183" s="24">
        <v>10.081304176469892</v>
      </c>
      <c r="C183" s="24">
        <v>3.5034848946850161E-2</v>
      </c>
      <c r="D183" s="37">
        <f t="shared" si="11"/>
        <v>23892.12477910782</v>
      </c>
      <c r="E183" s="36">
        <v>0.9922802514367296</v>
      </c>
      <c r="F183" s="37">
        <f t="shared" si="12"/>
        <v>23707.683583170827</v>
      </c>
      <c r="G183" s="20">
        <v>24553</v>
      </c>
      <c r="H183" s="37">
        <f t="shared" si="13"/>
        <v>845.31641682917325</v>
      </c>
      <c r="I183" s="37">
        <f t="shared" si="14"/>
        <v>714559.84456091258</v>
      </c>
    </row>
    <row r="184" spans="1:9" x14ac:dyDescent="0.35">
      <c r="A184" s="10">
        <v>160</v>
      </c>
      <c r="B184" s="24">
        <v>10.084066960945211</v>
      </c>
      <c r="C184" s="24">
        <v>-3.4495049140314649E-2</v>
      </c>
      <c r="D184" s="37">
        <f t="shared" si="11"/>
        <v>23958.224838593989</v>
      </c>
      <c r="E184" s="36">
        <v>1.1073678838309451</v>
      </c>
      <c r="F184" s="37">
        <f t="shared" si="12"/>
        <v>26530.568739859813</v>
      </c>
      <c r="G184" s="20">
        <v>25631</v>
      </c>
      <c r="H184" s="37">
        <f t="shared" si="13"/>
        <v>-899.56873985981292</v>
      </c>
      <c r="I184" s="37">
        <f t="shared" si="14"/>
        <v>809223.91773297172</v>
      </c>
    </row>
    <row r="185" spans="1:9" x14ac:dyDescent="0.35">
      <c r="A185" s="10">
        <v>161</v>
      </c>
      <c r="B185" s="24">
        <v>10.086829745420532</v>
      </c>
      <c r="C185" s="24">
        <v>1.8131762241337057E-2</v>
      </c>
      <c r="D185" s="37">
        <f t="shared" si="11"/>
        <v>24024.507770801003</v>
      </c>
      <c r="E185" s="36">
        <v>1.0234185080278571</v>
      </c>
      <c r="F185" s="37">
        <f t="shared" si="12"/>
        <v>24587.125898896822</v>
      </c>
      <c r="G185" s="20">
        <v>25037</v>
      </c>
      <c r="H185" s="37">
        <f t="shared" si="13"/>
        <v>449.87410110317796</v>
      </c>
      <c r="I185" s="37">
        <f t="shared" si="14"/>
        <v>202386.7068433924</v>
      </c>
    </row>
    <row r="186" spans="1:9" x14ac:dyDescent="0.35">
      <c r="A186" s="10">
        <v>162</v>
      </c>
      <c r="B186" s="24">
        <v>10.089592529895851</v>
      </c>
      <c r="C186" s="24">
        <v>-3.2155626077283728E-3</v>
      </c>
      <c r="D186" s="37">
        <f t="shared" si="11"/>
        <v>24090.974081665263</v>
      </c>
      <c r="E186" s="36">
        <v>0.96778361364008814</v>
      </c>
      <c r="F186" s="37">
        <f t="shared" si="12"/>
        <v>23314.849952863711</v>
      </c>
      <c r="G186" s="20">
        <v>23240</v>
      </c>
      <c r="H186" s="37">
        <f t="shared" si="13"/>
        <v>-74.849952863711223</v>
      </c>
      <c r="I186" s="37">
        <f t="shared" si="14"/>
        <v>5602.5154436997918</v>
      </c>
    </row>
    <row r="187" spans="1:9" x14ac:dyDescent="0.35">
      <c r="A187" s="10">
        <v>163</v>
      </c>
      <c r="B187" s="24">
        <v>10.092355314371172</v>
      </c>
      <c r="C187" s="24">
        <v>-2.8900337992739722E-2</v>
      </c>
      <c r="D187" s="37">
        <f t="shared" si="11"/>
        <v>24157.624278523072</v>
      </c>
      <c r="E187" s="36">
        <v>1.0471910079749045</v>
      </c>
      <c r="F187" s="37">
        <f t="shared" si="12"/>
        <v>25297.646918505601</v>
      </c>
      <c r="G187" s="20">
        <v>24577</v>
      </c>
      <c r="H187" s="37">
        <f t="shared" si="13"/>
        <v>-720.64691850560121</v>
      </c>
      <c r="I187" s="37">
        <f t="shared" si="14"/>
        <v>519331.98115161865</v>
      </c>
    </row>
    <row r="188" spans="1:9" x14ac:dyDescent="0.35">
      <c r="A188" s="10">
        <v>164</v>
      </c>
      <c r="B188" s="24">
        <v>10.095118098846493</v>
      </c>
      <c r="C188" s="24">
        <v>1.7946719020583757E-2</v>
      </c>
      <c r="D188" s="37">
        <f t="shared" si="11"/>
        <v>24224.458870114198</v>
      </c>
      <c r="E188" s="36">
        <v>1.0057927338780821</v>
      </c>
      <c r="F188" s="37">
        <f t="shared" si="12"/>
        <v>24364.784713689314</v>
      </c>
      <c r="G188" s="20">
        <v>24806</v>
      </c>
      <c r="H188" s="37">
        <f t="shared" si="13"/>
        <v>441.21528631068577</v>
      </c>
      <c r="I188" s="37">
        <f t="shared" si="14"/>
        <v>194670.92887422041</v>
      </c>
    </row>
    <row r="189" spans="1:9" x14ac:dyDescent="0.35">
      <c r="A189" s="10">
        <v>165</v>
      </c>
      <c r="B189" s="24">
        <v>10.097880883321812</v>
      </c>
      <c r="C189" s="24">
        <v>2.636123765787346E-2</v>
      </c>
      <c r="D189" s="37">
        <f t="shared" si="11"/>
        <v>24291.478366585896</v>
      </c>
      <c r="E189" s="36">
        <v>1.0311404366997561</v>
      </c>
      <c r="F189" s="37">
        <f t="shared" si="12"/>
        <v>25047.925611004059</v>
      </c>
      <c r="G189" s="20">
        <v>25717</v>
      </c>
      <c r="H189" s="37">
        <f t="shared" si="13"/>
        <v>669.07438899594126</v>
      </c>
      <c r="I189" s="37">
        <f t="shared" si="14"/>
        <v>447660.5380102921</v>
      </c>
    </row>
    <row r="190" spans="1:9" x14ac:dyDescent="0.35">
      <c r="A190" s="10">
        <v>166</v>
      </c>
      <c r="B190" s="24">
        <v>10.100643667797133</v>
      </c>
      <c r="C190" s="24">
        <v>-2.1981679308883173E-2</v>
      </c>
      <c r="D190" s="37">
        <f t="shared" si="11"/>
        <v>24358.683279496923</v>
      </c>
      <c r="E190" s="36">
        <v>0.99647151229008235</v>
      </c>
      <c r="F190" s="37">
        <f t="shared" si="12"/>
        <v>24272.733964915442</v>
      </c>
      <c r="G190" s="20">
        <v>23745</v>
      </c>
      <c r="H190" s="37">
        <f t="shared" si="13"/>
        <v>-527.7339649154419</v>
      </c>
      <c r="I190" s="37">
        <f t="shared" si="14"/>
        <v>278503.13772537286</v>
      </c>
    </row>
    <row r="191" spans="1:9" x14ac:dyDescent="0.35">
      <c r="A191" s="10">
        <v>167</v>
      </c>
      <c r="B191" s="24">
        <v>10.103406452272452</v>
      </c>
      <c r="C191" s="24">
        <v>5.0368806452674164E-3</v>
      </c>
      <c r="D191" s="37">
        <f t="shared" si="11"/>
        <v>24426.074121821144</v>
      </c>
      <c r="E191" s="36">
        <v>0.99924985141460465</v>
      </c>
      <c r="F191" s="37">
        <f t="shared" si="12"/>
        <v>24407.750936871897</v>
      </c>
      <c r="G191" s="20">
        <v>24531</v>
      </c>
      <c r="H191" s="37">
        <f t="shared" si="13"/>
        <v>123.24906312810344</v>
      </c>
      <c r="I191" s="37">
        <f t="shared" si="14"/>
        <v>15190.331561955229</v>
      </c>
    </row>
    <row r="192" spans="1:9" x14ac:dyDescent="0.35">
      <c r="A192" s="10">
        <v>168</v>
      </c>
      <c r="B192" s="24">
        <v>10.106169236747773</v>
      </c>
      <c r="C192" s="24">
        <v>-3.3059625078664112E-3</v>
      </c>
      <c r="D192" s="37">
        <f t="shared" si="11"/>
        <v>24493.651407951795</v>
      </c>
      <c r="E192" s="36">
        <v>1.0121735261994504</v>
      </c>
      <c r="F192" s="37">
        <f t="shared" si="12"/>
        <v>24791.825515086701</v>
      </c>
      <c r="G192" s="20">
        <v>24710</v>
      </c>
      <c r="H192" s="37">
        <f t="shared" si="13"/>
        <v>-81.825515086700761</v>
      </c>
      <c r="I192" s="37">
        <f t="shared" si="14"/>
        <v>6695.414919203894</v>
      </c>
    </row>
    <row r="193" spans="1:9" x14ac:dyDescent="0.35">
      <c r="A193" s="10">
        <v>169</v>
      </c>
      <c r="B193" s="24">
        <v>10.108932021223094</v>
      </c>
      <c r="C193" s="24">
        <v>-1.926373202492293E-2</v>
      </c>
      <c r="D193" s="37">
        <f t="shared" si="11"/>
        <v>24561.415653705102</v>
      </c>
      <c r="E193" s="36">
        <v>0.98079097156469441</v>
      </c>
      <c r="F193" s="37">
        <f t="shared" si="12"/>
        <v>24089.614722001723</v>
      </c>
      <c r="G193" s="20">
        <v>23630</v>
      </c>
      <c r="H193" s="37">
        <f t="shared" si="13"/>
        <v>-459.61472200172284</v>
      </c>
      <c r="I193" s="37">
        <f t="shared" si="14"/>
        <v>211245.69268072097</v>
      </c>
    </row>
    <row r="194" spans="1:9" x14ac:dyDescent="0.35">
      <c r="A194" s="10">
        <v>170</v>
      </c>
      <c r="B194" s="24">
        <v>10.111694805698413</v>
      </c>
      <c r="C194" s="24">
        <v>2.6053315809816624E-2</v>
      </c>
      <c r="D194" s="37">
        <f t="shared" si="11"/>
        <v>24629.36737632435</v>
      </c>
      <c r="E194" s="36">
        <v>1.0323394347969677</v>
      </c>
      <c r="F194" s="37">
        <f t="shared" si="12"/>
        <v>25425.867196681553</v>
      </c>
      <c r="G194" s="20">
        <v>26097</v>
      </c>
      <c r="H194" s="37">
        <f t="shared" si="13"/>
        <v>671.13280331844726</v>
      </c>
      <c r="I194" s="37">
        <f t="shared" si="14"/>
        <v>450419.23969007761</v>
      </c>
    </row>
    <row r="195" spans="1:9" x14ac:dyDescent="0.35">
      <c r="A195" s="10">
        <v>171</v>
      </c>
      <c r="B195" s="24">
        <v>10.114457590173734</v>
      </c>
      <c r="C195" s="24">
        <v>-2.2399906902746736E-2</v>
      </c>
      <c r="D195" s="37">
        <f t="shared" si="11"/>
        <v>24697.507094483964</v>
      </c>
      <c r="E195" s="36">
        <v>0.9922802514367296</v>
      </c>
      <c r="F195" s="37">
        <f t="shared" si="12"/>
        <v>24506.848549574963</v>
      </c>
      <c r="G195" s="20">
        <v>23964</v>
      </c>
      <c r="H195" s="37">
        <f t="shared" si="13"/>
        <v>-542.84854957496282</v>
      </c>
      <c r="I195" s="37">
        <f t="shared" si="14"/>
        <v>294684.54777564085</v>
      </c>
    </row>
    <row r="196" spans="1:9" x14ac:dyDescent="0.35">
      <c r="A196" s="10">
        <v>172</v>
      </c>
      <c r="B196" s="24">
        <v>10.117220374649053</v>
      </c>
      <c r="C196" s="24">
        <v>-3.3966721261244004E-2</v>
      </c>
      <c r="D196" s="37">
        <f t="shared" si="11"/>
        <v>24765.835328293168</v>
      </c>
      <c r="E196" s="36">
        <v>1.1073678838309451</v>
      </c>
      <c r="F196" s="37">
        <f t="shared" si="12"/>
        <v>27424.890658797663</v>
      </c>
      <c r="G196" s="20">
        <v>26509</v>
      </c>
      <c r="H196" s="37">
        <f t="shared" si="13"/>
        <v>-915.89065879766349</v>
      </c>
      <c r="I196" s="37">
        <f t="shared" si="14"/>
        <v>838855.69887281803</v>
      </c>
    </row>
    <row r="197" spans="1:9" x14ac:dyDescent="0.35">
      <c r="A197" s="10">
        <v>173</v>
      </c>
      <c r="B197" s="24">
        <v>10.119983159124374</v>
      </c>
      <c r="C197" s="24">
        <v>-8.1753085959128668E-3</v>
      </c>
      <c r="D197" s="37">
        <f t="shared" si="11"/>
        <v>24834.35259930028</v>
      </c>
      <c r="E197" s="36">
        <v>1.0234185080278571</v>
      </c>
      <c r="F197" s="37">
        <f t="shared" si="12"/>
        <v>25415.936085013625</v>
      </c>
      <c r="G197" s="20">
        <v>25209</v>
      </c>
      <c r="H197" s="37">
        <f t="shared" si="13"/>
        <v>-206.93608501362542</v>
      </c>
      <c r="I197" s="37">
        <f t="shared" si="14"/>
        <v>42822.543280766404</v>
      </c>
    </row>
    <row r="198" spans="1:9" x14ac:dyDescent="0.35">
      <c r="A198" s="10">
        <v>174</v>
      </c>
      <c r="B198" s="24">
        <v>10.122745943599693</v>
      </c>
      <c r="C198" s="24">
        <v>-6.9438661439562566E-3</v>
      </c>
      <c r="D198" s="37">
        <f t="shared" si="11"/>
        <v>24903.059430496374</v>
      </c>
      <c r="E198" s="36">
        <v>0.96778361364008814</v>
      </c>
      <c r="F198" s="37">
        <f t="shared" si="12"/>
        <v>24100.772846339656</v>
      </c>
      <c r="G198" s="20">
        <v>23934</v>
      </c>
      <c r="H198" s="37">
        <f t="shared" si="13"/>
        <v>-166.7728463396561</v>
      </c>
      <c r="I198" s="37">
        <f t="shared" si="14"/>
        <v>27813.182276230546</v>
      </c>
    </row>
    <row r="199" spans="1:9" x14ac:dyDescent="0.35">
      <c r="A199" s="10">
        <v>175</v>
      </c>
      <c r="B199" s="24">
        <v>10.125508728075014</v>
      </c>
      <c r="C199" s="24">
        <v>6.2573117342678231E-2</v>
      </c>
      <c r="D199" s="37">
        <f t="shared" si="11"/>
        <v>24971.95634631961</v>
      </c>
      <c r="E199" s="36">
        <v>1.0471910079749045</v>
      </c>
      <c r="F199" s="37">
        <f t="shared" si="12"/>
        <v>26150.408137407747</v>
      </c>
      <c r="G199" s="20">
        <v>27839</v>
      </c>
      <c r="H199" s="37">
        <f t="shared" si="13"/>
        <v>1688.5918625922532</v>
      </c>
      <c r="I199" s="37">
        <f t="shared" si="14"/>
        <v>2851342.4784127749</v>
      </c>
    </row>
    <row r="200" spans="1:9" x14ac:dyDescent="0.35">
      <c r="A200" s="10">
        <v>176</v>
      </c>
      <c r="B200" s="24">
        <v>10.128271512550334</v>
      </c>
      <c r="C200" s="24">
        <v>-1.7507169918365761E-2</v>
      </c>
      <c r="D200" s="37">
        <f t="shared" si="11"/>
        <v>25041.043872658927</v>
      </c>
      <c r="E200" s="36">
        <v>1.0057927338780821</v>
      </c>
      <c r="F200" s="37">
        <f t="shared" si="12"/>
        <v>25186.099975842619</v>
      </c>
      <c r="G200" s="20">
        <v>24749</v>
      </c>
      <c r="H200" s="37">
        <f t="shared" si="13"/>
        <v>-437.09997584261873</v>
      </c>
      <c r="I200" s="37">
        <f t="shared" si="14"/>
        <v>191056.38888161787</v>
      </c>
    </row>
    <row r="201" spans="1:9" x14ac:dyDescent="0.35">
      <c r="A201" s="10">
        <v>177</v>
      </c>
      <c r="B201" s="24">
        <v>10.131034297025654</v>
      </c>
      <c r="C201" s="24">
        <v>-3.8153355959549273E-2</v>
      </c>
      <c r="D201" s="37">
        <f t="shared" si="11"/>
        <v>25110.322536858181</v>
      </c>
      <c r="E201" s="36">
        <v>1.0311404366997561</v>
      </c>
      <c r="F201" s="37">
        <f t="shared" si="12"/>
        <v>25892.268946327673</v>
      </c>
      <c r="G201" s="20">
        <v>24923</v>
      </c>
      <c r="H201" s="37">
        <f t="shared" si="13"/>
        <v>-969.26894632767289</v>
      </c>
      <c r="I201" s="37">
        <f t="shared" si="14"/>
        <v>939482.29031515727</v>
      </c>
    </row>
    <row r="202" spans="1:9" x14ac:dyDescent="0.35">
      <c r="A202" s="10">
        <v>178</v>
      </c>
      <c r="B202" s="24">
        <v>10.133797081500974</v>
      </c>
      <c r="C202" s="24">
        <v>2.9455302842180231E-2</v>
      </c>
      <c r="D202" s="37">
        <f t="shared" si="11"/>
        <v>25179.792867720327</v>
      </c>
      <c r="E202" s="36">
        <v>0.99647151229008235</v>
      </c>
      <c r="F202" s="37">
        <f t="shared" si="12"/>
        <v>25090.946278048305</v>
      </c>
      <c r="G202" s="20">
        <v>25841</v>
      </c>
      <c r="H202" s="37">
        <f t="shared" si="13"/>
        <v>750.05372195169548</v>
      </c>
      <c r="I202" s="37">
        <f t="shared" si="14"/>
        <v>562580.58581359126</v>
      </c>
    </row>
    <row r="203" spans="1:9" x14ac:dyDescent="0.35">
      <c r="A203" s="10">
        <v>179</v>
      </c>
      <c r="B203" s="24">
        <v>10.136559865976293</v>
      </c>
      <c r="C203" s="24">
        <v>4.2806723027629445E-2</v>
      </c>
      <c r="D203" s="37">
        <f t="shared" si="11"/>
        <v>25249.455395511119</v>
      </c>
      <c r="E203" s="36">
        <v>0.99924985141460465</v>
      </c>
      <c r="F203" s="37">
        <f t="shared" si="12"/>
        <v>25230.514552264172</v>
      </c>
      <c r="G203" s="20">
        <v>26334</v>
      </c>
      <c r="H203" s="37">
        <f t="shared" si="13"/>
        <v>1103.4854477358276</v>
      </c>
      <c r="I203" s="37">
        <f t="shared" si="14"/>
        <v>1217680.1333647401</v>
      </c>
    </row>
    <row r="204" spans="1:9" ht="15" thickBot="1" x14ac:dyDescent="0.4">
      <c r="A204" s="11">
        <v>180</v>
      </c>
      <c r="B204" s="25">
        <v>10.139322650451614</v>
      </c>
      <c r="C204" s="25">
        <v>1.1077377070217054E-2</v>
      </c>
      <c r="D204" s="37">
        <f t="shared" si="11"/>
        <v>25319.310651963537</v>
      </c>
      <c r="E204" s="36">
        <v>1.0121735261994504</v>
      </c>
      <c r="F204" s="37">
        <f t="shared" si="12"/>
        <v>25627.535943537241</v>
      </c>
      <c r="G204" s="20">
        <v>25913</v>
      </c>
      <c r="H204" s="37">
        <f t="shared" si="13"/>
        <v>285.46405646275889</v>
      </c>
      <c r="I204" s="37">
        <f t="shared" si="14"/>
        <v>81489.727532173201</v>
      </c>
    </row>
  </sheetData>
  <mergeCells count="2">
    <mergeCell ref="D4:F4"/>
    <mergeCell ref="O6:Z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 with scatter</vt:lpstr>
      <vt:lpstr>Input for Linear - no dummies</vt:lpstr>
      <vt:lpstr>Linear reg - period- no dummies</vt:lpstr>
      <vt:lpstr>Input for Quad</vt:lpstr>
      <vt:lpstr>Reg Quad - wo dummies</vt:lpstr>
      <vt:lpstr>Input for Exp</vt:lpstr>
      <vt:lpstr>Reg Exp - wo dummies</vt:lpstr>
      <vt:lpstr>Seasonal Factors</vt:lpstr>
      <vt:lpstr>Deseasonalised Sales</vt:lpstr>
      <vt:lpstr>Input for Quad with dummies</vt:lpstr>
      <vt:lpstr>Reg - Quad with dummies</vt:lpstr>
      <vt:lpstr>Deseason ip for Final forecast</vt:lpstr>
      <vt:lpstr>Final 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Bindu Shree</dc:creator>
  <cp:lastModifiedBy>Bindu Shree</cp:lastModifiedBy>
  <dcterms:created xsi:type="dcterms:W3CDTF">2021-11-14T20:31:37Z</dcterms:created>
  <dcterms:modified xsi:type="dcterms:W3CDTF">2021-11-15T00:30:21Z</dcterms:modified>
</cp:coreProperties>
</file>